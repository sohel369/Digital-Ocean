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l55\OneDrive\Documents\Truck Project\Ancillary Advertisers\Datasets\"/>
    </mc:Choice>
  </mc:AlternateContent>
  <xr:revisionPtr revIDLastSave="0" documentId="13_ncr:1_{B5061895-54DC-4E3C-BF42-4E5A7DE13F97}" xr6:coauthVersionLast="47" xr6:coauthVersionMax="47" xr10:uidLastSave="{00000000-0000-0000-0000-000000000000}"/>
  <bookViews>
    <workbookView xWindow="-120" yWindow="-120" windowWidth="29040" windowHeight="15720" activeTab="1" xr2:uid="{EF5EB38A-BDB2-421F-9254-DD735302B0A3}"/>
  </bookViews>
  <sheets>
    <sheet name="Sheet1" sheetId="1" r:id="rId1"/>
    <sheet name="us-states---ranking-by-populati" sheetId="2" r:id="rId2"/>
  </sheets>
  <definedNames>
    <definedName name="ExternalData_1" localSheetId="1" hidden="1">'us-states---ranking-by-populati'!$A$2:$D$52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s-states---ranking-by-population-2026_fb31c6c5-821a-4d17-aad4-acd75b6d6d31" name="us-states---ranking-by-population-2026" connection="Query - us-states---ranking-by-population-202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7" i="2" l="1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198" i="2"/>
  <c r="G197" i="2"/>
  <c r="G196" i="2"/>
  <c r="G195" i="2"/>
  <c r="G194" i="2"/>
  <c r="G193" i="2"/>
  <c r="G192" i="2"/>
  <c r="G191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3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2DE8D-AC63-4EB6-A5F2-6F3B6F9F292A}" keepAlive="1" name="ModelConnection_ExternalData_1" description="Data Model" type="5" refreshedVersion="8" minRefreshableVersion="5" saveData="1">
    <dbPr connection="Data Model Connection" command="us-states---ranking-by-population-2026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576EFD5B-59BF-4456-8B6A-D340DF432D03}" name="Query - us-states---ranking-by-population-2026" description="Connection to the 'us-states---ranking-by-population-2026' query in the workbook." type="100" refreshedVersion="8" minRefreshableVersion="5">
    <extLst>
      <ext xmlns:x15="http://schemas.microsoft.com/office/spreadsheetml/2010/11/main" uri="{DE250136-89BD-433C-8126-D09CA5730AF9}">
        <x15:connection id="b391225d-b78c-4043-b254-07146926e0ca"/>
      </ext>
    </extLst>
  </connection>
  <connection id="3" xr16:uid="{A7CE9517-0458-4642-AEC1-0493AE9DFD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<sst xmlns="http://schemas.openxmlformats.org/spreadsheetml/2006/main" count="1046" uniqueCount="930">
  <si>
    <t>Column1.state</t>
  </si>
  <si>
    <t>Column1.code</t>
  </si>
  <si>
    <t>Column1.pop2026</t>
  </si>
  <si>
    <t>Column1.densityMi</t>
  </si>
  <si>
    <t>California</t>
  </si>
  <si>
    <t>CA</t>
  </si>
  <si>
    <t>39896400</t>
  </si>
  <si>
    <t>256.10897</t>
  </si>
  <si>
    <t>Texas</t>
  </si>
  <si>
    <t>TX</t>
  </si>
  <si>
    <t>32416700</t>
  </si>
  <si>
    <t>124.09161</t>
  </si>
  <si>
    <t>Florida</t>
  </si>
  <si>
    <t>FL</t>
  </si>
  <si>
    <t>24306900</t>
  </si>
  <si>
    <t>453.27552</t>
  </si>
  <si>
    <t>New York</t>
  </si>
  <si>
    <t>NY</t>
  </si>
  <si>
    <t>20127000</t>
  </si>
  <si>
    <t>427.08908</t>
  </si>
  <si>
    <t>Pennsylvania</t>
  </si>
  <si>
    <t>PA</t>
  </si>
  <si>
    <t>13200800</t>
  </si>
  <si>
    <t>295.0361</t>
  </si>
  <si>
    <t>Illinois</t>
  </si>
  <si>
    <t>IL</t>
  </si>
  <si>
    <t>12846000</t>
  </si>
  <si>
    <t>231.38025</t>
  </si>
  <si>
    <t>Ohio</t>
  </si>
  <si>
    <t>OH</t>
  </si>
  <si>
    <t>12001800</t>
  </si>
  <si>
    <t>293.72262</t>
  </si>
  <si>
    <t>Georgia</t>
  </si>
  <si>
    <t>GA</t>
  </si>
  <si>
    <t>11413800</t>
  </si>
  <si>
    <t>198.456</t>
  </si>
  <si>
    <t>North Carolina</t>
  </si>
  <si>
    <t>NC</t>
  </si>
  <si>
    <t>11375700</t>
  </si>
  <si>
    <t>233.98124</t>
  </si>
  <si>
    <t>Michigan</t>
  </si>
  <si>
    <t>MI</t>
  </si>
  <si>
    <t>10254700</t>
  </si>
  <si>
    <t>181.37392</t>
  </si>
  <si>
    <t>New Jersey</t>
  </si>
  <si>
    <t>NJ</t>
  </si>
  <si>
    <t>9743270</t>
  </si>
  <si>
    <t>1324.89394</t>
  </si>
  <si>
    <t>Virginia</t>
  </si>
  <si>
    <t>VA</t>
  </si>
  <si>
    <t>8964220</t>
  </si>
  <si>
    <t>226.99975</t>
  </si>
  <si>
    <t>Washington</t>
  </si>
  <si>
    <t>WA</t>
  </si>
  <si>
    <t>8159900</t>
  </si>
  <si>
    <t>122.78651</t>
  </si>
  <si>
    <t>Arizona</t>
  </si>
  <si>
    <t>AZ</t>
  </si>
  <si>
    <t>7801100</t>
  </si>
  <si>
    <t>68.67528</t>
  </si>
  <si>
    <t>Tennessee</t>
  </si>
  <si>
    <t>TN</t>
  </si>
  <si>
    <t>7386640</t>
  </si>
  <si>
    <t>179.1352</t>
  </si>
  <si>
    <t>Massachusetts</t>
  </si>
  <si>
    <t>MA</t>
  </si>
  <si>
    <t>7275380</t>
  </si>
  <si>
    <t>932.74103</t>
  </si>
  <si>
    <t>Indiana</t>
  </si>
  <si>
    <t>IN</t>
  </si>
  <si>
    <t>7012560</t>
  </si>
  <si>
    <t>195.73941</t>
  </si>
  <si>
    <t>Maryland</t>
  </si>
  <si>
    <t>MD</t>
  </si>
  <si>
    <t>6355540</t>
  </si>
  <si>
    <t>654.73782</t>
  </si>
  <si>
    <t>Missouri</t>
  </si>
  <si>
    <t>MO</t>
  </si>
  <si>
    <t>6320320</t>
  </si>
  <si>
    <t>91.94263</t>
  </si>
  <si>
    <t>Colorado</t>
  </si>
  <si>
    <t>CO</t>
  </si>
  <si>
    <t>6069800</t>
  </si>
  <si>
    <t>58.56506</t>
  </si>
  <si>
    <t>Wisconsin</t>
  </si>
  <si>
    <t>WI</t>
  </si>
  <si>
    <t>6022120</t>
  </si>
  <si>
    <t>111.19539</t>
  </si>
  <si>
    <t>Minnesota</t>
  </si>
  <si>
    <t>MN</t>
  </si>
  <si>
    <t>5873360</t>
  </si>
  <si>
    <t>73.76091</t>
  </si>
  <si>
    <t>South Carolina</t>
  </si>
  <si>
    <t>SC</t>
  </si>
  <si>
    <t>5660830</t>
  </si>
  <si>
    <t>188.31143</t>
  </si>
  <si>
    <t>Alabama</t>
  </si>
  <si>
    <t>AL</t>
  </si>
  <si>
    <t>5237750</t>
  </si>
  <si>
    <t>103.42087</t>
  </si>
  <si>
    <t>Kentucky</t>
  </si>
  <si>
    <t>KY</t>
  </si>
  <si>
    <t>4663930</t>
  </si>
  <si>
    <t>118.11604</t>
  </si>
  <si>
    <t>Louisiana</t>
  </si>
  <si>
    <t>LA</t>
  </si>
  <si>
    <t>4617080</t>
  </si>
  <si>
    <t>106.86696</t>
  </si>
  <si>
    <t>Oregon</t>
  </si>
  <si>
    <t>OR</t>
  </si>
  <si>
    <t>4309810</t>
  </si>
  <si>
    <t>44.89947</t>
  </si>
  <si>
    <t>Oklahoma</t>
  </si>
  <si>
    <t>OK</t>
  </si>
  <si>
    <t>4158420</t>
  </si>
  <si>
    <t>60.62279</t>
  </si>
  <si>
    <t>Connecticut</t>
  </si>
  <si>
    <t>CT</t>
  </si>
  <si>
    <t>3739160</t>
  </si>
  <si>
    <t>772.23461</t>
  </si>
  <si>
    <t>Utah</t>
  </si>
  <si>
    <t>UT</t>
  </si>
  <si>
    <t>3624400</t>
  </si>
  <si>
    <t>44.10856</t>
  </si>
  <si>
    <t>Nevada</t>
  </si>
  <si>
    <t>NV</t>
  </si>
  <si>
    <t>3373680</t>
  </si>
  <si>
    <t>30.731</t>
  </si>
  <si>
    <t>Iowa</t>
  </si>
  <si>
    <t>IA</t>
  </si>
  <si>
    <t>3287640</t>
  </si>
  <si>
    <t>58.85816</t>
  </si>
  <si>
    <t>Arkansas</t>
  </si>
  <si>
    <t>AR</t>
  </si>
  <si>
    <t>3126140</t>
  </si>
  <si>
    <t>60.07764</t>
  </si>
  <si>
    <t>Kansas</t>
  </si>
  <si>
    <t>KS</t>
  </si>
  <si>
    <t>3008820</t>
  </si>
  <si>
    <t>36.80109</t>
  </si>
  <si>
    <t>Mississippi</t>
  </si>
  <si>
    <t>MS</t>
  </si>
  <si>
    <t>2942790</t>
  </si>
  <si>
    <t>62.7153</t>
  </si>
  <si>
    <t>New Mexico</t>
  </si>
  <si>
    <t>NM</t>
  </si>
  <si>
    <t>2148440</t>
  </si>
  <si>
    <t>17.71208</t>
  </si>
  <si>
    <t>Idaho</t>
  </si>
  <si>
    <t>ID</t>
  </si>
  <si>
    <t>2062610</t>
  </si>
  <si>
    <t>24.95807</t>
  </si>
  <si>
    <t>Nebraska</t>
  </si>
  <si>
    <t>NE</t>
  </si>
  <si>
    <t>2040670</t>
  </si>
  <si>
    <t>26.56292</t>
  </si>
  <si>
    <t>West Virginia</t>
  </si>
  <si>
    <t>WV</t>
  </si>
  <si>
    <t>1768950</t>
  </si>
  <si>
    <t>73.58973</t>
  </si>
  <si>
    <t>Hawaii</t>
  </si>
  <si>
    <t>HI</t>
  </si>
  <si>
    <t>1455660</t>
  </si>
  <si>
    <t>226.63241</t>
  </si>
  <si>
    <t>New Hampshire</t>
  </si>
  <si>
    <t>NH</t>
  </si>
  <si>
    <t>1422700</t>
  </si>
  <si>
    <t>158.90763</t>
  </si>
  <si>
    <t>Maine</t>
  </si>
  <si>
    <t>ME</t>
  </si>
  <si>
    <t>1415740</t>
  </si>
  <si>
    <t>45.9015</t>
  </si>
  <si>
    <t>Montana</t>
  </si>
  <si>
    <t>MT</t>
  </si>
  <si>
    <t>1149100</t>
  </si>
  <si>
    <t>7.8951</t>
  </si>
  <si>
    <t>Rhode Island</t>
  </si>
  <si>
    <t>RI</t>
  </si>
  <si>
    <t>1130070</t>
  </si>
  <si>
    <t>1092.91103</t>
  </si>
  <si>
    <t>Delaware</t>
  </si>
  <si>
    <t>DE</t>
  </si>
  <si>
    <t>1082900</t>
  </si>
  <si>
    <t>555.61827</t>
  </si>
  <si>
    <t>South Dakota</t>
  </si>
  <si>
    <t>SD</t>
  </si>
  <si>
    <t>937397</t>
  </si>
  <si>
    <t>12.36492</t>
  </si>
  <si>
    <t>North Dakota</t>
  </si>
  <si>
    <t>ND</t>
  </si>
  <si>
    <t>811610</t>
  </si>
  <si>
    <t>11.76229</t>
  </si>
  <si>
    <t>Alaska</t>
  </si>
  <si>
    <t>AK</t>
  </si>
  <si>
    <t>747379</t>
  </si>
  <si>
    <t>1.30972</t>
  </si>
  <si>
    <t>Vermont</t>
  </si>
  <si>
    <t>VT</t>
  </si>
  <si>
    <t>648063</t>
  </si>
  <si>
    <t>70.31171</t>
  </si>
  <si>
    <t>Wyoming</t>
  </si>
  <si>
    <t>WY</t>
  </si>
  <si>
    <t>592720</t>
  </si>
  <si>
    <t>6.10466</t>
  </si>
  <si>
    <t>Totals</t>
  </si>
  <si>
    <t>Area square miles</t>
  </si>
  <si>
    <t>No of 3o mile radius areas</t>
  </si>
  <si>
    <t>Ca;ifornia as Control Density</t>
  </si>
  <si>
    <t xml:space="preserve">USA </t>
  </si>
  <si>
    <t>China</t>
  </si>
  <si>
    <t>Guangdong</t>
  </si>
  <si>
    <t>Sichuan</t>
  </si>
  <si>
    <t>Xinjiang</t>
  </si>
  <si>
    <t>Beijing (Municipality)</t>
  </si>
  <si>
    <t>Shanghai (Municipality)</t>
  </si>
  <si>
    <t>Chongqing (Municipality)</t>
  </si>
  <si>
    <t>Tibet (Xizang)</t>
  </si>
  <si>
    <t>Shandong</t>
  </si>
  <si>
    <t>Yunnan</t>
  </si>
  <si>
    <t>Hong Kong (SAR)</t>
  </si>
  <si>
    <t>Henan</t>
  </si>
  <si>
    <t>Hebei</t>
  </si>
  <si>
    <t>Hunan</t>
  </si>
  <si>
    <t>Anhui</t>
  </si>
  <si>
    <t>Jiangsu</t>
  </si>
  <si>
    <t>Zhejiang</t>
  </si>
  <si>
    <t>Guizhou</t>
  </si>
  <si>
    <t>Jiangxi</t>
  </si>
  <si>
    <t>Liaoning</t>
  </si>
  <si>
    <t>Fujian</t>
  </si>
  <si>
    <t>Shaanxi</t>
  </si>
  <si>
    <t>Inner Mongolia</t>
  </si>
  <si>
    <t>Ānhuī Shĕng</t>
  </si>
  <si>
    <t>Guangdong  as Control Density</t>
  </si>
  <si>
    <t>An Giang</t>
  </si>
  <si>
    <t>Bà Rịa–Vũng Tàu</t>
  </si>
  <si>
    <t>Bắc Giang</t>
  </si>
  <si>
    <t>Bắc Kạn</t>
  </si>
  <si>
    <t>Bạc Liêu</t>
  </si>
  <si>
    <t>Bắc Ninh</t>
  </si>
  <si>
    <t>Bến Tre</t>
  </si>
  <si>
    <t>Bình Dương</t>
  </si>
  <si>
    <t>Bình Định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</si>
  <si>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</si>
  <si>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</si>
  <si>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</si>
  <si>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</si>
  <si>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</si>
  <si>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</si>
  <si>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</si>
  <si>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</si>
  <si>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</si>
  <si>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</si>
  <si>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</si>
  <si>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</si>
  <si>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</si>
  <si>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</si>
  <si>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</si>
  <si>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</si>
  <si>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</si>
  <si>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</si>
  <si>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</si>
  <si>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Hòa Bình</t>
  </si>
  <si>
    <t>Hưng Yên</t>
  </si>
  <si>
    <t>Khánh Hòa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</si>
  <si>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</si>
  <si>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</si>
  <si>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</si>
  <si>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</si>
  <si>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</si>
  <si>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</si>
  <si>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</si>
  <si>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</si>
  <si>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</si>
  <si>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</si>
  <si>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</si>
  <si>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</si>
  <si>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</si>
  <si>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</si>
  <si>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</si>
  <si>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</si>
  <si>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</si>
  <si>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</si>
  <si>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</si>
  <si>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</si>
  <si>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</si>
  <si>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</si>
  <si>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</si>
  <si>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Hóa</t>
  </si>
  <si>
    <t>Thừa Thiên–Huế</t>
  </si>
  <si>
    <t>Tiền Giang</t>
  </si>
  <si>
    <t>TP HCM (Hồ Chí Minh City)</t>
  </si>
  <si>
    <t>Trà Vinh</t>
  </si>
  <si>
    <t>Tuyên Quang</t>
  </si>
  <si>
    <t>Vĩnh Long</t>
  </si>
  <si>
    <t>Vĩnh Phúc</t>
  </si>
  <si>
    <t>Yên Bái</t>
  </si>
  <si>
    <t>Vietnam</t>
  </si>
  <si>
    <t>Angiang as Control</t>
  </si>
  <si>
    <t>Aceh</t>
  </si>
  <si>
    <t>North Sumatra</t>
  </si>
  <si>
    <t>West Sumatra</t>
  </si>
  <si>
    <t>Riau</t>
  </si>
  <si>
    <t>Jambi</t>
  </si>
  <si>
    <t>South Sumatra</t>
  </si>
  <si>
    <t>Bengkulu</t>
  </si>
  <si>
    <t>Lampung</t>
  </si>
  <si>
    <t>Bangka Belitung</t>
  </si>
  <si>
    <t>Riau Islands</t>
  </si>
  <si>
    <t>Jakarta</t>
  </si>
  <si>
    <t>West Java</t>
  </si>
  <si>
    <t>Central Java</t>
  </si>
  <si>
    <t>Yogyakarta</t>
  </si>
  <si>
    <t>East Java</t>
  </si>
  <si>
    <t>Banten</t>
  </si>
  <si>
    <t>Bali</t>
  </si>
  <si>
    <t>West Nusa Tenggara</t>
  </si>
  <si>
    <t>East Nusa Tenggara</t>
  </si>
  <si>
    <t>West Kalimantan</t>
  </si>
  <si>
    <t>Central Kalimantan</t>
  </si>
  <si>
    <t>South Kalimantan</t>
  </si>
  <si>
    <t>East Kalimantan</t>
  </si>
  <si>
    <t>North Kalimantan</t>
  </si>
  <si>
    <t>West Sulawesi</t>
  </si>
  <si>
    <t>South Sulawesi</t>
  </si>
  <si>
    <t>Southeast Sulawesi</t>
  </si>
  <si>
    <t>Central Sulawesi</t>
  </si>
  <si>
    <t>Gorontalo</t>
  </si>
  <si>
    <t>North Sulawesi</t>
  </si>
  <si>
    <t>Maluku</t>
  </si>
  <si>
    <t>North Maluku</t>
  </si>
  <si>
    <t>West Papua</t>
  </si>
  <si>
    <t>Central Papua</t>
  </si>
  <si>
    <t>South Papua</t>
  </si>
  <si>
    <t>Highland Papua</t>
  </si>
  <si>
    <t>Southwest Papua</t>
  </si>
  <si>
    <t>Indonesia</t>
  </si>
  <si>
    <t>Bangkok</t>
  </si>
  <si>
    <t>Central</t>
  </si>
  <si>
    <t>North</t>
  </si>
  <si>
    <t>Northeast</t>
  </si>
  <si>
    <t>East</t>
  </si>
  <si>
    <t>South</t>
  </si>
  <si>
    <t>West</t>
  </si>
  <si>
    <t xml:space="preserve">Thailand </t>
  </si>
  <si>
    <t xml:space="preserve">Bankok as Control </t>
  </si>
  <si>
    <t>Baden-Württemberg</t>
  </si>
  <si>
    <t>70xxx–79xxx</t>
  </si>
  <si>
    <t>Bavaria (Bayern)</t>
  </si>
  <si>
    <t>80xxx–97xxx</t>
  </si>
  <si>
    <t>Berlin</t>
  </si>
  <si>
    <t>10xxx–14xxx</t>
  </si>
  <si>
    <t>Brandenburg</t>
  </si>
  <si>
    <t>14xxx–16xxx</t>
  </si>
  <si>
    <t>Bremen</t>
  </si>
  <si>
    <t>28xxx</t>
  </si>
  <si>
    <t>Hamburg</t>
  </si>
  <si>
    <t>20xxx–22xxx</t>
  </si>
  <si>
    <t>Hesse (Hessen)</t>
  </si>
  <si>
    <t>34xxx–36xxx, 60xxx–65xxx</t>
  </si>
  <si>
    <t>Mecklenburg-Vorpommern</t>
  </si>
  <si>
    <t>17xxx–19xxx</t>
  </si>
  <si>
    <t>Lower Saxony (Niedersachsen)</t>
  </si>
  <si>
    <t>26xxx–31xxx, 38xxx–39xxx</t>
  </si>
  <si>
    <t>North Rhine-Westphalia (Nordrhein-Westfalen)</t>
  </si>
  <si>
    <t>32xxx–33xxx, 40xxx–59xxx</t>
  </si>
  <si>
    <t>Rhineland-Palatinate (Rheinland-Pfalz)</t>
  </si>
  <si>
    <t>54xxx–56xxx, 66xxx</t>
  </si>
  <si>
    <t>Saarland</t>
  </si>
  <si>
    <t>66xxx</t>
  </si>
  <si>
    <t>Saxony (Sachsen)</t>
  </si>
  <si>
    <t>01xxx–09xxx</t>
  </si>
  <si>
    <t>Saxony-Anhalt (Sachsen-Anhalt)</t>
  </si>
  <si>
    <t>06xxx–07xxx</t>
  </si>
  <si>
    <t>Schleswig-Holstein</t>
  </si>
  <si>
    <t>24xxx–25xxx</t>
  </si>
  <si>
    <t>Thuringia (Thüringen)</t>
  </si>
  <si>
    <t>07xxx–09xxx</t>
  </si>
  <si>
    <t>Baden-Württemberg as control</t>
  </si>
  <si>
    <t xml:space="preserve">Germany </t>
  </si>
  <si>
    <t>Île-de-France</t>
  </si>
  <si>
    <t>75xxx–95xxx</t>
  </si>
  <si>
    <t>Auvergne-Rhône-Alpes</t>
  </si>
  <si>
    <t>01xxx–74xxx</t>
  </si>
  <si>
    <t>Nouvelle-Aquitaine</t>
  </si>
  <si>
    <t>16xxx–87xxx</t>
  </si>
  <si>
    <t>Occitanie</t>
  </si>
  <si>
    <t>09xxx–66xxx</t>
  </si>
  <si>
    <t>Hauts-de-France</t>
  </si>
  <si>
    <t>59xxx–62xxx</t>
  </si>
  <si>
    <t>Grand Est</t>
  </si>
  <si>
    <t>08xxx–68xxx</t>
  </si>
  <si>
    <t>Pays de la Loire</t>
  </si>
  <si>
    <t>44xxx–85xxx</t>
  </si>
  <si>
    <t>22xxx–56xxx</t>
  </si>
  <si>
    <t>Normandie</t>
  </si>
  <si>
    <t>14xxx–76xxx</t>
  </si>
  <si>
    <t>Bourgogne-Franche-Comté</t>
  </si>
  <si>
    <t>21xxx–90xxx</t>
  </si>
  <si>
    <t>Centre-Val de Loire</t>
  </si>
  <si>
    <t>18xxx–45xxx</t>
  </si>
  <si>
    <t>Provence-Alpes-Côte d'Azur</t>
  </si>
  <si>
    <t>04xxx–84xxx</t>
  </si>
  <si>
    <t>Bretagne</t>
  </si>
  <si>
    <t>Corse</t>
  </si>
  <si>
    <t>20xxx</t>
  </si>
  <si>
    <t>Île-de-France as Control</t>
  </si>
  <si>
    <t>France</t>
  </si>
  <si>
    <t>Álava</t>
  </si>
  <si>
    <t>01xxx</t>
  </si>
  <si>
    <t>Albacete</t>
  </si>
  <si>
    <t>02xxx</t>
  </si>
  <si>
    <t>Alicante</t>
  </si>
  <si>
    <t>03xxx</t>
  </si>
  <si>
    <t>Almería</t>
  </si>
  <si>
    <t>04xxx</t>
  </si>
  <si>
    <t>Asturias</t>
  </si>
  <si>
    <t>33xxx</t>
  </si>
  <si>
    <t>Ávila</t>
  </si>
  <si>
    <t>05xxx</t>
  </si>
  <si>
    <t>Badajoz</t>
  </si>
  <si>
    <t>06xxx</t>
  </si>
  <si>
    <t>Barcelona</t>
  </si>
  <si>
    <t>08xxx</t>
  </si>
  <si>
    <t>Burgos</t>
  </si>
  <si>
    <t>09xxx</t>
  </si>
  <si>
    <t>Cáceres</t>
  </si>
  <si>
    <t>10xxx</t>
  </si>
  <si>
    <t>Cádiz</t>
  </si>
  <si>
    <t>11xxx</t>
  </si>
  <si>
    <t>Cantabria</t>
  </si>
  <si>
    <t>39xxx</t>
  </si>
  <si>
    <t>Castellón</t>
  </si>
  <si>
    <t>12xxx</t>
  </si>
  <si>
    <t>Ciudad Real</t>
  </si>
  <si>
    <t>13xxx</t>
  </si>
  <si>
    <t>Córdoba</t>
  </si>
  <si>
    <t>14xxx</t>
  </si>
  <si>
    <t>A Coruña</t>
  </si>
  <si>
    <t>15xxx</t>
  </si>
  <si>
    <t>Cuenca</t>
  </si>
  <si>
    <t>16xxx</t>
  </si>
  <si>
    <t>Girona</t>
  </si>
  <si>
    <t>17xxx</t>
  </si>
  <si>
    <t>Granada</t>
  </si>
  <si>
    <t>18xxx</t>
  </si>
  <si>
    <t>Guadalajara</t>
  </si>
  <si>
    <t>19xxx</t>
  </si>
  <si>
    <t>Gipuzkoa</t>
  </si>
  <si>
    <t>Huelva</t>
  </si>
  <si>
    <t>21xxx</t>
  </si>
  <si>
    <t>Huesca</t>
  </si>
  <si>
    <t>22xxx</t>
  </si>
  <si>
    <t>Illes Balears</t>
  </si>
  <si>
    <t>07xxx</t>
  </si>
  <si>
    <t>Jaén</t>
  </si>
  <si>
    <t>23xxx</t>
  </si>
  <si>
    <t>La Rioja</t>
  </si>
  <si>
    <t>26xxx</t>
  </si>
  <si>
    <t>Las Palmas</t>
  </si>
  <si>
    <t>35xxx</t>
  </si>
  <si>
    <t>León</t>
  </si>
  <si>
    <t>24xxx</t>
  </si>
  <si>
    <t>Lleida</t>
  </si>
  <si>
    <t>25xxx</t>
  </si>
  <si>
    <t>Lugo</t>
  </si>
  <si>
    <t>27xxx</t>
  </si>
  <si>
    <t>Madrid</t>
  </si>
  <si>
    <t>Málaga</t>
  </si>
  <si>
    <t>29xxx</t>
  </si>
  <si>
    <t>Murcia</t>
  </si>
  <si>
    <t>30xxx</t>
  </si>
  <si>
    <t>Navarra</t>
  </si>
  <si>
    <t>31xxx</t>
  </si>
  <si>
    <t>Ourense</t>
  </si>
  <si>
    <t>32xxx</t>
  </si>
  <si>
    <t>Palencia</t>
  </si>
  <si>
    <t>34xxx</t>
  </si>
  <si>
    <t>Pontevedra</t>
  </si>
  <si>
    <t>36xxx</t>
  </si>
  <si>
    <t>Salamanca</t>
  </si>
  <si>
    <t>37xxx</t>
  </si>
  <si>
    <t>Santa Cruz de Tenerife</t>
  </si>
  <si>
    <t>38xxx</t>
  </si>
  <si>
    <t>Segovia</t>
  </si>
  <si>
    <t>40xxx</t>
  </si>
  <si>
    <t>Sevilla</t>
  </si>
  <si>
    <t>41xxx</t>
  </si>
  <si>
    <t>Soria</t>
  </si>
  <si>
    <t>42xxx</t>
  </si>
  <si>
    <t>Tarragona</t>
  </si>
  <si>
    <t>43xxx</t>
  </si>
  <si>
    <t>Teruel</t>
  </si>
  <si>
    <t>44xxx</t>
  </si>
  <si>
    <t>Toledo</t>
  </si>
  <si>
    <t>45xxx</t>
  </si>
  <si>
    <t>Valencia</t>
  </si>
  <si>
    <t>46xxx</t>
  </si>
  <si>
    <t>Valladolid</t>
  </si>
  <si>
    <t>47xxx</t>
  </si>
  <si>
    <t>Bizkaia</t>
  </si>
  <si>
    <t>48xxx</t>
  </si>
  <si>
    <t>Zamora</t>
  </si>
  <si>
    <t>49xxx</t>
  </si>
  <si>
    <t>Zaragoza</t>
  </si>
  <si>
    <t>50xxx</t>
  </si>
  <si>
    <t>Alava as Control</t>
  </si>
  <si>
    <t xml:space="preserve">Spain </t>
  </si>
  <si>
    <t>Bedfordshire</t>
  </si>
  <si>
    <t>LU, MK, SG</t>
  </si>
  <si>
    <t>Berkshire</t>
  </si>
  <si>
    <t>RG, SL</t>
  </si>
  <si>
    <t>Buckinghamshire</t>
  </si>
  <si>
    <t>HP, MK, SL</t>
  </si>
  <si>
    <t>Cambridgeshire</t>
  </si>
  <si>
    <t>CB, PE, SG</t>
  </si>
  <si>
    <t>Cheshire</t>
  </si>
  <si>
    <t>CH, CW, SK, WA</t>
  </si>
  <si>
    <t>Cornwall</t>
  </si>
  <si>
    <t>PL, TR</t>
  </si>
  <si>
    <t>Cumberland</t>
  </si>
  <si>
    <t>Derbyshire</t>
  </si>
  <si>
    <t>DE, S, SK</t>
  </si>
  <si>
    <t>Devon</t>
  </si>
  <si>
    <t>EX, PL, TQ</t>
  </si>
  <si>
    <t>Dorset</t>
  </si>
  <si>
    <t>BH, DT</t>
  </si>
  <si>
    <t>Durham</t>
  </si>
  <si>
    <t>DH, DL, SR, TS</t>
  </si>
  <si>
    <t>Essex</t>
  </si>
  <si>
    <t>CM, CO, IG, RM, SS</t>
  </si>
  <si>
    <t>Gloucestershire</t>
  </si>
  <si>
    <t>GL</t>
  </si>
  <si>
    <t>Hampshire</t>
  </si>
  <si>
    <t>GU, PO, RG, SO, SP</t>
  </si>
  <si>
    <t>Herefordshire</t>
  </si>
  <si>
    <t>HR</t>
  </si>
  <si>
    <t>Hertfordshire</t>
  </si>
  <si>
    <t>AL, EN, HP, SG, WD</t>
  </si>
  <si>
    <t>Huntingdonshire</t>
  </si>
  <si>
    <t>PE</t>
  </si>
  <si>
    <t>Kent</t>
  </si>
  <si>
    <t>BR, CT, DA, ME, TN</t>
  </si>
  <si>
    <t>Lancashire</t>
  </si>
  <si>
    <t>BB, BL, FY, LA, OL, PR</t>
  </si>
  <si>
    <t>Leicestershire</t>
  </si>
  <si>
    <t>LE</t>
  </si>
  <si>
    <t>Lincolnshire</t>
  </si>
  <si>
    <t>DN, LN, NG, PE</t>
  </si>
  <si>
    <t>London (Middlesex)</t>
  </si>
  <si>
    <t>E, EC, N, NW, SE, SW, W, WC</t>
  </si>
  <si>
    <t>Middlesex</t>
  </si>
  <si>
    <t>EN, HA, N, NW, TW, UB, W</t>
  </si>
  <si>
    <t>Monmouthshire</t>
  </si>
  <si>
    <t>NP</t>
  </si>
  <si>
    <t>Norfolk</t>
  </si>
  <si>
    <t>IP, NR, PE</t>
  </si>
  <si>
    <t>Northamptonshire</t>
  </si>
  <si>
    <t>NN</t>
  </si>
  <si>
    <t>Northumberland</t>
  </si>
  <si>
    <t>Nottinghamshire</t>
  </si>
  <si>
    <t>NG</t>
  </si>
  <si>
    <t>Oxfordshire</t>
  </si>
  <si>
    <t>OX</t>
  </si>
  <si>
    <t>Rutland</t>
  </si>
  <si>
    <t>LE, PE</t>
  </si>
  <si>
    <t>Shropshire</t>
  </si>
  <si>
    <t>SY, TF</t>
  </si>
  <si>
    <t>Somerset</t>
  </si>
  <si>
    <t>BA, BS, TA</t>
  </si>
  <si>
    <t>Staffordshire</t>
  </si>
  <si>
    <t>DE, DY, ST, WS, WV</t>
  </si>
  <si>
    <t>Suffolk</t>
  </si>
  <si>
    <t>CB, CO, IP, NR</t>
  </si>
  <si>
    <t>Surrey</t>
  </si>
  <si>
    <t>CR, GU, KT, RH, SM, SW, TW</t>
  </si>
  <si>
    <t>Sussex</t>
  </si>
  <si>
    <t>BN, GU, PO, RH, TN</t>
  </si>
  <si>
    <t>Warwickshire</t>
  </si>
  <si>
    <t>B, CV</t>
  </si>
  <si>
    <t>Westmorland</t>
  </si>
  <si>
    <t>Wiltshire</t>
  </si>
  <si>
    <t>BA, SN, SP, SW</t>
  </si>
  <si>
    <t>Worcestershire</t>
  </si>
  <si>
    <t>B, DY, GL, WR</t>
  </si>
  <si>
    <t>Yorkshire (East Riding)</t>
  </si>
  <si>
    <t>HU, YO</t>
  </si>
  <si>
    <t>Yorkshire (North Riding)</t>
  </si>
  <si>
    <t>DL, TS, YO</t>
  </si>
  <si>
    <t>Yorkshire (West Riding)</t>
  </si>
  <si>
    <t>BD, DN, HD, HG, HX, LS, S, WF, YO</t>
  </si>
  <si>
    <t>Anglesey</t>
  </si>
  <si>
    <t>LL</t>
  </si>
  <si>
    <t>Brecknockshire</t>
  </si>
  <si>
    <t>LD</t>
  </si>
  <si>
    <t>Caernarfonshire</t>
  </si>
  <si>
    <t>Cardiganshire</t>
  </si>
  <si>
    <t>SA, SY</t>
  </si>
  <si>
    <t>Carmarthenshire</t>
  </si>
  <si>
    <t>SA</t>
  </si>
  <si>
    <t>Denbighshire</t>
  </si>
  <si>
    <t>Flintshire</t>
  </si>
  <si>
    <t>CH</t>
  </si>
  <si>
    <t>Glamorgan</t>
  </si>
  <si>
    <t>CF, SA</t>
  </si>
  <si>
    <t>Merionethshire</t>
  </si>
  <si>
    <t>Montgomeryshire</t>
  </si>
  <si>
    <t>SY</t>
  </si>
  <si>
    <t>Pembrokeshire</t>
  </si>
  <si>
    <t>Radnorshire</t>
  </si>
  <si>
    <t>Banffshire</t>
  </si>
  <si>
    <t>AB</t>
  </si>
  <si>
    <t>Berwickshire</t>
  </si>
  <si>
    <t>TD</t>
  </si>
  <si>
    <t>Clackmannanshire</t>
  </si>
  <si>
    <t>FK</t>
  </si>
  <si>
    <t>Dumfriesshire</t>
  </si>
  <si>
    <t>DG</t>
  </si>
  <si>
    <t>Fife</t>
  </si>
  <si>
    <t>Inverness-shire</t>
  </si>
  <si>
    <t>IV</t>
  </si>
  <si>
    <t>Kincardineshire</t>
  </si>
  <si>
    <t>Kinross-shire</t>
  </si>
  <si>
    <t>Kirkcudbrightshire</t>
  </si>
  <si>
    <t>Lanarkshire</t>
  </si>
  <si>
    <t>G, ML</t>
  </si>
  <si>
    <t>Midlothian</t>
  </si>
  <si>
    <t>EH</t>
  </si>
  <si>
    <t>Moray</t>
  </si>
  <si>
    <t>AB, IV</t>
  </si>
  <si>
    <t>Nairnshire</t>
  </si>
  <si>
    <t>Orkney</t>
  </si>
  <si>
    <t>KW</t>
  </si>
  <si>
    <t>Peeblesshire</t>
  </si>
  <si>
    <t>Perthshire</t>
  </si>
  <si>
    <t>PH</t>
  </si>
  <si>
    <t>Renfrewshire</t>
  </si>
  <si>
    <t>Ross and Cromarty</t>
  </si>
  <si>
    <t>Roxburghshire</t>
  </si>
  <si>
    <t>Selkirkshire</t>
  </si>
  <si>
    <t>Shetland</t>
  </si>
  <si>
    <t>ZE</t>
  </si>
  <si>
    <t>Stirlingshire</t>
  </si>
  <si>
    <t>FK, G</t>
  </si>
  <si>
    <t>Sutherland</t>
  </si>
  <si>
    <t>West Lothian</t>
  </si>
  <si>
    <t>Wigtownshire</t>
  </si>
  <si>
    <t>Isle of Man</t>
  </si>
  <si>
    <t>IM</t>
  </si>
  <si>
    <t>Channel Islands</t>
  </si>
  <si>
    <t>GY, JE</t>
  </si>
  <si>
    <t>No of 10 mile radius areas</t>
  </si>
  <si>
    <t>Bedfordshire as Control</t>
  </si>
  <si>
    <t>United Kingdom</t>
  </si>
  <si>
    <t>Abruzzo</t>
  </si>
  <si>
    <t>67xxx</t>
  </si>
  <si>
    <t>Aosta Valley</t>
  </si>
  <si>
    <t>Apulia</t>
  </si>
  <si>
    <t>70xxx-76xxx</t>
  </si>
  <si>
    <t>Basilicata</t>
  </si>
  <si>
    <t>75xxx</t>
  </si>
  <si>
    <t>Calabria</t>
  </si>
  <si>
    <t>88xxx-89xxx</t>
  </si>
  <si>
    <t>Campania</t>
  </si>
  <si>
    <t>80xxx-83xxx</t>
  </si>
  <si>
    <t>Emilia-Romagna</t>
  </si>
  <si>
    <t>40xxx-48xxx</t>
  </si>
  <si>
    <t>Friuli Venezia Giulia</t>
  </si>
  <si>
    <t>33xxx-34xxx</t>
  </si>
  <si>
    <t>Lazio</t>
  </si>
  <si>
    <t>00xxx-04xxx</t>
  </si>
  <si>
    <t>Liguria</t>
  </si>
  <si>
    <t>16xxx-19xxx</t>
  </si>
  <si>
    <t>Lombardy</t>
  </si>
  <si>
    <t>20xxx-25xxx</t>
  </si>
  <si>
    <t>Marche</t>
  </si>
  <si>
    <t>60xxx</t>
  </si>
  <si>
    <t>Molise</t>
  </si>
  <si>
    <t>86xxx-87xxx</t>
  </si>
  <si>
    <t>Piedmont</t>
  </si>
  <si>
    <t>10xxx-13xxx</t>
  </si>
  <si>
    <t>Sardinia</t>
  </si>
  <si>
    <t>07xxx-09xxx</t>
  </si>
  <si>
    <t>Sicily</t>
  </si>
  <si>
    <t>90xxx-98xxx</t>
  </si>
  <si>
    <t>Trentino-Alto Adige</t>
  </si>
  <si>
    <t>38xxx-39xxx</t>
  </si>
  <si>
    <t>Tuscany</t>
  </si>
  <si>
    <t>50xxx-58xxx</t>
  </si>
  <si>
    <t>Umbria</t>
  </si>
  <si>
    <t>Veneto</t>
  </si>
  <si>
    <t>30xxx-37xxx</t>
  </si>
  <si>
    <t>Italy</t>
  </si>
  <si>
    <t>Alberta</t>
  </si>
  <si>
    <t>T</t>
  </si>
  <si>
    <t>British Columbia</t>
  </si>
  <si>
    <t>V</t>
  </si>
  <si>
    <t>Manitoba</t>
  </si>
  <si>
    <t>R</t>
  </si>
  <si>
    <t>New Brunswick</t>
  </si>
  <si>
    <t>E</t>
  </si>
  <si>
    <t>Newfoundland and Labrador</t>
  </si>
  <si>
    <t>A</t>
  </si>
  <si>
    <t>Northwest Territories</t>
  </si>
  <si>
    <t>X</t>
  </si>
  <si>
    <t>Nova Scotia</t>
  </si>
  <si>
    <t>B</t>
  </si>
  <si>
    <t>Nunavut</t>
  </si>
  <si>
    <t>Ontario</t>
  </si>
  <si>
    <t>K, L, M, N, P</t>
  </si>
  <si>
    <t>Prince Edward Island</t>
  </si>
  <si>
    <t>C</t>
  </si>
  <si>
    <t>Quebec</t>
  </si>
  <si>
    <t>G, H, J</t>
  </si>
  <si>
    <t>Saskatchewan</t>
  </si>
  <si>
    <t>S</t>
  </si>
  <si>
    <t>Yukon</t>
  </si>
  <si>
    <t>Y</t>
  </si>
  <si>
    <t>Abruzzo as Control</t>
  </si>
  <si>
    <t>Alberta as Control</t>
  </si>
  <si>
    <t>Canada</t>
  </si>
  <si>
    <t>Hokkaido</t>
  </si>
  <si>
    <t>060-xxxx</t>
  </si>
  <si>
    <t>Aomori</t>
  </si>
  <si>
    <t>030-xxxx</t>
  </si>
  <si>
    <t>Iwate</t>
  </si>
  <si>
    <t>020-xxxx</t>
  </si>
  <si>
    <t>Miyagi</t>
  </si>
  <si>
    <t>980-xxxx</t>
  </si>
  <si>
    <t>Akita</t>
  </si>
  <si>
    <t>010-xxxx</t>
  </si>
  <si>
    <t>Yamagata</t>
  </si>
  <si>
    <t>990-xxxx</t>
  </si>
  <si>
    <t>Fukushima</t>
  </si>
  <si>
    <t>960-xxxx</t>
  </si>
  <si>
    <t>Ibaraki</t>
  </si>
  <si>
    <t>310-xxxx</t>
  </si>
  <si>
    <t>Tochigi</t>
  </si>
  <si>
    <t>320-xxxx</t>
  </si>
  <si>
    <t>Gunma</t>
  </si>
  <si>
    <t>370-xxxx</t>
  </si>
  <si>
    <t>Saitama</t>
  </si>
  <si>
    <t>330-xxxx</t>
  </si>
  <si>
    <t>Chiba</t>
  </si>
  <si>
    <t>260-xxxx</t>
  </si>
  <si>
    <t>Tokyo</t>
  </si>
  <si>
    <t>100-xxxx</t>
  </si>
  <si>
    <t>Kanagawa</t>
  </si>
  <si>
    <t>210-xxxx</t>
  </si>
  <si>
    <t>Niigata</t>
  </si>
  <si>
    <t>950-xxxx</t>
  </si>
  <si>
    <t>Toyama</t>
  </si>
  <si>
    <t>930-xxxx</t>
  </si>
  <si>
    <t>Ishikawa</t>
  </si>
  <si>
    <t>920-xxxx</t>
  </si>
  <si>
    <t>Fukui</t>
  </si>
  <si>
    <t>910-xxxx</t>
  </si>
  <si>
    <t>Yamanashi</t>
  </si>
  <si>
    <t>400-xxxx</t>
  </si>
  <si>
    <t>Nagano</t>
  </si>
  <si>
    <t>380-xxxx</t>
  </si>
  <si>
    <t>Gifu</t>
  </si>
  <si>
    <t>500-xxxx</t>
  </si>
  <si>
    <t>Shizuoka</t>
  </si>
  <si>
    <t>420-xxxx</t>
  </si>
  <si>
    <t>Aichi</t>
  </si>
  <si>
    <t>460-xxxx</t>
  </si>
  <si>
    <t>Mie</t>
  </si>
  <si>
    <t>510-xxxx</t>
  </si>
  <si>
    <t>Shiga</t>
  </si>
  <si>
    <t>520-xxxx</t>
  </si>
  <si>
    <t>Kyoto</t>
  </si>
  <si>
    <t>600-xxxx</t>
  </si>
  <si>
    <t>Osaka</t>
  </si>
  <si>
    <t>530-xxxx</t>
  </si>
  <si>
    <t>Hyogo</t>
  </si>
  <si>
    <t>650-xxxx</t>
  </si>
  <si>
    <t>Nara</t>
  </si>
  <si>
    <t>630-xxxx</t>
  </si>
  <si>
    <t>Wakayama</t>
  </si>
  <si>
    <t>640-xxxx</t>
  </si>
  <si>
    <t>Tottori</t>
  </si>
  <si>
    <t>680-xxxx</t>
  </si>
  <si>
    <t>Shimane</t>
  </si>
  <si>
    <t>690-xxxx</t>
  </si>
  <si>
    <t>Okayama</t>
  </si>
  <si>
    <t>700-xxxx</t>
  </si>
  <si>
    <t>Hiroshima</t>
  </si>
  <si>
    <t>730-xxxx</t>
  </si>
  <si>
    <t>Yamaguchi</t>
  </si>
  <si>
    <t>750-xxxx</t>
  </si>
  <si>
    <t>Tokushima</t>
  </si>
  <si>
    <t>770-xxxx</t>
  </si>
  <si>
    <t>Kagawa</t>
  </si>
  <si>
    <t>760-xxxx</t>
  </si>
  <si>
    <t>Ehime</t>
  </si>
  <si>
    <t>790-xxxx</t>
  </si>
  <si>
    <t>Kochi</t>
  </si>
  <si>
    <t>780-xxxx</t>
  </si>
  <si>
    <t>Fukuoka</t>
  </si>
  <si>
    <t>810-xxxx</t>
  </si>
  <si>
    <t>Saga</t>
  </si>
  <si>
    <t>840-xxxx</t>
  </si>
  <si>
    <t>Nagasaki</t>
  </si>
  <si>
    <t>850-xxxx</t>
  </si>
  <si>
    <t>Kumamoto</t>
  </si>
  <si>
    <t>860-xxxx</t>
  </si>
  <si>
    <t>Oita</t>
  </si>
  <si>
    <t>870-xxxx</t>
  </si>
  <si>
    <t>Miyazaki</t>
  </si>
  <si>
    <t>880-xxxx</t>
  </si>
  <si>
    <t>Kagoshima</t>
  </si>
  <si>
    <t>890-xxxx</t>
  </si>
  <si>
    <t>Okinawa</t>
  </si>
  <si>
    <t>900-xxxx</t>
  </si>
  <si>
    <t>Hokkaido as Control</t>
  </si>
  <si>
    <t xml:space="preserve">Japan </t>
  </si>
  <si>
    <t>Ilocos Region (Region I)</t>
  </si>
  <si>
    <t>2900–2920</t>
  </si>
  <si>
    <t>Cagayan Valley (Region II)</t>
  </si>
  <si>
    <t>3500–3520</t>
  </si>
  <si>
    <t>Central Luzon (Region III)</t>
  </si>
  <si>
    <t>2000–2010</t>
  </si>
  <si>
    <t>CALABARZON (Region IV-A)</t>
  </si>
  <si>
    <t>4100–4120</t>
  </si>
  <si>
    <t>MIMAROPA (Region IV-B)</t>
  </si>
  <si>
    <t>5200–5210</t>
  </si>
  <si>
    <t>Bicol Region (Region V)</t>
  </si>
  <si>
    <t>4400–4420</t>
  </si>
  <si>
    <t>Western Visayas (Region VI)</t>
  </si>
  <si>
    <t>5000–5020</t>
  </si>
  <si>
    <t>Central Visayas (Region VII)</t>
  </si>
  <si>
    <t>6000–6020</t>
  </si>
  <si>
    <t>Eastern Visayas (Region VIII)</t>
  </si>
  <si>
    <t>6500–6520</t>
  </si>
  <si>
    <t>Zamboanga Peninsula (Region IX)</t>
  </si>
  <si>
    <t>7000–7020</t>
  </si>
  <si>
    <t>Northern Mindanao (Region X)</t>
  </si>
  <si>
    <t>9000–9020</t>
  </si>
  <si>
    <t>Davao Region (Region XI)</t>
  </si>
  <si>
    <t>8000–8020</t>
  </si>
  <si>
    <t>SOCCSKSARGEN (Region XII)</t>
  </si>
  <si>
    <t>9500–9520</t>
  </si>
  <si>
    <t>Caraga (Region XIII)</t>
  </si>
  <si>
    <t>8600–8620</t>
  </si>
  <si>
    <t>Bangsamoro Autonomous Region (BARMM)</t>
  </si>
  <si>
    <t>9600–9620</t>
  </si>
  <si>
    <t>Cordillera Administrative Region (CAR)</t>
  </si>
  <si>
    <t>2600–2620</t>
  </si>
  <si>
    <t>National Capital Region (NCR)</t>
  </si>
  <si>
    <t>1000–1010</t>
  </si>
  <si>
    <t>Visayas Administrative Region (VAR)</t>
  </si>
  <si>
    <t>6600–6620</t>
  </si>
  <si>
    <t>Illocus as Control</t>
  </si>
  <si>
    <t>Phillipines</t>
  </si>
  <si>
    <t>Andhra Pradesh</t>
  </si>
  <si>
    <t>500001–534448</t>
  </si>
  <si>
    <t>Arunachal Pradesh</t>
  </si>
  <si>
    <t>790001–792131</t>
  </si>
  <si>
    <t>Assam</t>
  </si>
  <si>
    <t>781001–788931</t>
  </si>
  <si>
    <t>Bihar</t>
  </si>
  <si>
    <t>800001–854333</t>
  </si>
  <si>
    <t>Chhattisgarh</t>
  </si>
  <si>
    <t>490001–497778</t>
  </si>
  <si>
    <t>Goa</t>
  </si>
  <si>
    <t>403001–403806</t>
  </si>
  <si>
    <t>Gujarat</t>
  </si>
  <si>
    <t>360001–396590</t>
  </si>
  <si>
    <t>Haryana</t>
  </si>
  <si>
    <t>120001–136199</t>
  </si>
  <si>
    <t>Himachal Pradesh</t>
  </si>
  <si>
    <t>171001–177601</t>
  </si>
  <si>
    <t>Jharkhand</t>
  </si>
  <si>
    <t>810001–834012</t>
  </si>
  <si>
    <t>Karnataka</t>
  </si>
  <si>
    <t>560001–591346</t>
  </si>
  <si>
    <t>Kerala</t>
  </si>
  <si>
    <t>670001–695615</t>
  </si>
  <si>
    <t>Madhya Pradesh</t>
  </si>
  <si>
    <t>450001–488001</t>
  </si>
  <si>
    <t>Maharashtra</t>
  </si>
  <si>
    <t>400001–444906</t>
  </si>
  <si>
    <t>Manipur</t>
  </si>
  <si>
    <t>795001–795159</t>
  </si>
  <si>
    <t>Meghalaya</t>
  </si>
  <si>
    <t>793001–793200</t>
  </si>
  <si>
    <t>Mizoram</t>
  </si>
  <si>
    <t>796001–796901</t>
  </si>
  <si>
    <t>Nagaland</t>
  </si>
  <si>
    <t>797001–798627</t>
  </si>
  <si>
    <t>Odisha</t>
  </si>
  <si>
    <t>751001–770019</t>
  </si>
  <si>
    <t>Punjab</t>
  </si>
  <si>
    <t>140001–160047</t>
  </si>
  <si>
    <t>Rajasthan</t>
  </si>
  <si>
    <t>301001–345601</t>
  </si>
  <si>
    <t>Sikkim</t>
  </si>
  <si>
    <t>737101–737139</t>
  </si>
  <si>
    <t>Tamil Nadu</t>
  </si>
  <si>
    <t>600001–643253</t>
  </si>
  <si>
    <t>Telangana</t>
  </si>
  <si>
    <t>500001–509381</t>
  </si>
  <si>
    <t>Tripura</t>
  </si>
  <si>
    <t>799001–799278</t>
  </si>
  <si>
    <t>Uttar Pradesh</t>
  </si>
  <si>
    <t>201001–285223</t>
  </si>
  <si>
    <t>Uttarakhand</t>
  </si>
  <si>
    <t>244001–263153</t>
  </si>
  <si>
    <t>West Bengal</t>
  </si>
  <si>
    <t>700001–743711</t>
  </si>
  <si>
    <t>Andaman &amp; Nicobar Islands</t>
  </si>
  <si>
    <t>744101–744301</t>
  </si>
  <si>
    <t>Chandigarh</t>
  </si>
  <si>
    <t>160001–160103</t>
  </si>
  <si>
    <t>Dadra &amp; Nagar Haveli and Daman &amp; Diu</t>
  </si>
  <si>
    <t>396210–396239</t>
  </si>
  <si>
    <t>Delhi</t>
  </si>
  <si>
    <t>110001–110096</t>
  </si>
  <si>
    <t>Lakshadweep</t>
  </si>
  <si>
    <t>682551–682559</t>
  </si>
  <si>
    <t>Puducherry</t>
  </si>
  <si>
    <t>605001–609609</t>
  </si>
  <si>
    <t>Ladakh</t>
  </si>
  <si>
    <t>194101–194404</t>
  </si>
  <si>
    <t>Jammu &amp; Kashmir</t>
  </si>
  <si>
    <t>180001–193411</t>
  </si>
  <si>
    <t>Andrha Pradesh as Control</t>
  </si>
  <si>
    <t xml:space="preserve">India </t>
  </si>
  <si>
    <t xml:space="preserve">Aceh as Control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</si>
</sst>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28"/>
      <color theme="0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20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0" tint="-4.9989318521683403E-2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2" fillId="2" borderId="0" xfId="0" applyFont="1" applyFill="1"/>
    <xf numFmtId="0" fontId="1" fillId="2" borderId="0" xfId="0" applyFont="1" applyFill="1"/>
    <xf numFmtId="0" fontId="4" fillId="0" borderId="1" xfId="0" applyFont="1" applyBorder="1" applyAlignment="1">
      <alignment vertical="center" wrapText="1"/>
    </xf>
    <xf numFmtId="3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3" fontId="5" fillId="3" borderId="4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3" fontId="3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5" fillId="3" borderId="3" xfId="0" applyNumberFormat="1" applyFont="1" applyFill="1" applyBorder="1" applyAlignment="1">
      <alignment vertical="center" wrapText="1"/>
    </xf>
    <xf numFmtId="3" fontId="3" fillId="0" borderId="3" xfId="0" applyNumberFormat="1" applyFont="1" applyBorder="1" applyAlignment="1">
      <alignment vertical="center" wrapText="1"/>
    </xf>
    <xf numFmtId="0" fontId="3" fillId="0" borderId="0" xfId="0" applyFont="1"/>
    <xf numFmtId="2" fontId="4" fillId="0" borderId="1" xfId="0" applyNumberFormat="1" applyFont="1" applyBorder="1" applyAlignment="1">
      <alignment vertical="center" wrapText="1"/>
    </xf>
    <xf numFmtId="2" fontId="4" fillId="0" borderId="2" xfId="0" applyNumberFormat="1" applyFont="1" applyBorder="1" applyAlignment="1">
      <alignment vertical="center" wrapText="1"/>
    </xf>
    <xf numFmtId="0" fontId="7" fillId="2" borderId="0" xfId="0" applyFont="1" applyFill="1"/>
    <xf numFmtId="0" fontId="0" fillId="4" borderId="0" xfId="0" applyFill="1"/>
    <xf numFmtId="1" fontId="0" fillId="0" borderId="0" xfId="0" applyNumberFormat="1"/>
    <xf numFmtId="0" fontId="6" fillId="2" borderId="0" xfId="0" applyFont="1" applyFill="1"/>
    <xf numFmtId="0" fontId="8" fillId="2" borderId="0" xfId="0" applyFont="1" applyFill="1"/>
    <xf numFmtId="4" fontId="5" fillId="3" borderId="4" xfId="0" applyNumberFormat="1" applyFont="1" applyFill="1" applyBorder="1" applyAlignment="1">
      <alignment vertical="center" wrapText="1"/>
    </xf>
    <xf numFmtId="4" fontId="3" fillId="0" borderId="4" xfId="0" applyNumberFormat="1" applyFont="1" applyBorder="1" applyAlignment="1">
      <alignment vertical="center" wrapText="1"/>
    </xf>
    <xf numFmtId="0" fontId="9" fillId="2" borderId="0" xfId="0" applyFont="1" applyFill="1"/>
    <xf numFmtId="0" fontId="10" fillId="2" borderId="0" xfId="0" applyFont="1" applyFill="1"/>
    <xf numFmtId="4" fontId="4" fillId="0" borderId="2" xfId="0" applyNumberFormat="1" applyFont="1" applyBorder="1" applyAlignment="1">
      <alignment vertical="center" wrapText="1"/>
    </xf>
    <xf numFmtId="0" fontId="11" fillId="2" borderId="0" xfId="0" applyFont="1" applyFill="1"/>
    <xf numFmtId="0" fontId="12" fillId="0" borderId="0" xfId="0" applyFont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F20AE95-EE38-4AB3-9DD7-3E00C5E48001}" autoFormatId="16" applyNumberFormats="0" applyBorderFormats="0" applyFontFormats="0" applyPatternFormats="0" applyAlignmentFormats="0" applyWidthHeightFormats="0">
  <queryTableRefresh nextId="17" unboundColumnsRight="3">
    <queryTableFields count="7">
      <queryTableField id="1" name="Column1.state" tableColumnId="1"/>
      <queryTableField id="2" name="Column1.code" tableColumnId="2"/>
      <queryTableField id="6" name="Column1.pop2026" tableColumnId="6"/>
      <queryTableField id="10" name="Column1.densityMi" tableColumnId="10"/>
      <queryTableField id="13" dataBound="0" tableColumnId="13"/>
      <queryTableField id="14" dataBound="0" tableColumnId="14"/>
      <queryTableField id="15" dataBound="0" tableColumnId="15"/>
    </queryTableFields>
    <queryTableDeletedFields count="8">
      <deletedField name="Column1.pop2020"/>
      <deletedField name="Column1.pop2025"/>
      <deletedField name="Column1.population"/>
      <deletedField name="Column1.growthRate"/>
      <deletedField name="Column1.growthRate2020"/>
      <deletedField name="Column1.fips"/>
      <deletedField name="Column1.rank"/>
      <deletedField name="Column1.percent"/>
    </queryTableDeletedFields>
  </queryTableRefresh>
  <extLst>
    <ext xmlns:x15="http://schemas.microsoft.com/office/spreadsheetml/2010/11/main" uri="{883FBD77-0823-4a55-B5E3-86C4891E6966}">
      <x15:queryTable sourceDataName="Query - us-states---ranking-by-population-2026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8512F-23E8-4C13-A483-3F089EF6C829}" name="us_states___ranking_by_population_2026" displayName="us_states___ranking_by_population_2026" ref="A2:G52" tableType="queryTable" totalsRowShown="0">
  <autoFilter ref="A2:G52" xr:uid="{BC28512F-23E8-4C13-A483-3F089EF6C829}"/>
  <tableColumns count="7">
    <tableColumn id="1" xr3:uid="{88F955BA-6077-4BEE-894F-F60C73033CBF}" uniqueName="1" name="Column1.state" queryTableFieldId="1"/>
    <tableColumn id="2" xr3:uid="{2994346E-0787-4D1F-BCF6-9764BA432050}" uniqueName="2" name="Column1.code" queryTableFieldId="2"/>
    <tableColumn id="6" xr3:uid="{6DCDABB7-5AF6-45D0-9912-18A3C6E4AB0E}" uniqueName="6" name="Column1.pop2026" queryTableFieldId="6" dataDxfId="4"/>
    <tableColumn id="10" xr3:uid="{29436EE2-0944-4BB0-AB7C-0E0021C82BBB}" uniqueName="10" name="Column1.densityMi" queryTableFieldId="10" dataDxfId="3"/>
    <tableColumn id="13" xr3:uid="{6DE4BE95-D489-4E28-8E3F-CC30E4FE4BF9}" uniqueName="13" name="Area square miles" queryTableFieldId="13" dataDxfId="2">
      <calculatedColumnFormula>SUM(us_states___ranking_by_population_2026[[#This Row],[Column1.pop2026]]/us_states___ranking_by_population_2026[[#This Row],[Column1.densityMi]])</calculatedColumnFormula>
    </tableColumn>
    <tableColumn id="14" xr3:uid="{7AB8BE6A-3A9E-4DF7-B246-B0313508AC42}" uniqueName="14" name="No of 3o mile radius areas" queryTableFieldId="14" dataDxfId="1">
      <calculatedColumnFormula>SUM(us_states___ranking_by_population_2026[[#This Row],[Area square miles]])/2827</calculatedColumnFormula>
    </tableColumn>
    <tableColumn id="15" xr3:uid="{C9456607-9777-4963-B583-2E5301947D77}" uniqueName="15" name="Ca;ifornia as Control Density" queryTableFieldId="15" dataDxfId="0">
      <calculatedColumnFormula>SUM(D3/$D$3)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E189-7EA0-4D43-9ABE-CCFCD62818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A5832-4C2B-4204-8535-41D702566500}">
  <dimension ref="A1:J527"/>
  <sheetViews>
    <sheetView tabSelected="1" topLeftCell="A211" workbookViewId="0">
      <selection activeCell="I158" sqref="I158"/>
    </sheetView>
  </sheetViews>
  <sheetFormatPr defaultRowHeight="15" x14ac:dyDescent="0.25"/>
  <cols>
    <col min="1" max="1" width="16.7109375" bestFit="1" customWidth="1"/>
    <col min="2" max="2" width="16.5703125" bestFit="1" customWidth="1"/>
    <col min="3" max="3" width="22.85546875" customWidth="1"/>
    <col min="4" max="4" width="26.140625" style="1" customWidth="1"/>
    <col min="5" max="5" width="29.7109375" customWidth="1"/>
    <col min="6" max="6" width="30.140625" customWidth="1"/>
    <col min="7" max="7" width="28.42578125" customWidth="1"/>
    <col min="8" max="8" width="25.42578125" customWidth="1"/>
  </cols>
  <sheetData>
    <row r="1" spans="1:7" s="4" customFormat="1" ht="46.5" x14ac:dyDescent="0.7">
      <c r="A1" s="6" t="s">
        <v>208</v>
      </c>
      <c r="D1" s="5"/>
    </row>
    <row r="2" spans="1:7" x14ac:dyDescent="0.25">
      <c r="A2" t="s">
        <v>0</v>
      </c>
      <c r="B2" t="s">
        <v>1</v>
      </c>
      <c r="C2" s="1" t="s">
        <v>2</v>
      </c>
      <c r="D2" s="1" t="s">
        <v>3</v>
      </c>
      <c r="E2" t="s">
        <v>205</v>
      </c>
      <c r="F2" t="s">
        <v>206</v>
      </c>
      <c r="G2" s="3" t="s">
        <v>207</v>
      </c>
    </row>
    <row r="3" spans="1:7" x14ac:dyDescent="0.25">
      <c r="A3" t="s">
        <v>4</v>
      </c>
      <c r="B3" t="s">
        <v>5</v>
      </c>
      <c r="C3" t="s">
        <v>6</v>
      </c>
      <c r="D3" t="s">
        <v>7</v>
      </c>
      <c r="E3" s="1">
        <f>SUM(us_states___ranking_by_population_2026[[#This Row],[Column1.pop2026]]/us_states___ranking_by_population_2026[[#This Row],[Column1.densityMi]])</f>
        <v>155779.00297674071</v>
      </c>
      <c r="F3" s="1">
        <f>SUM(us_states___ranking_by_population_2026[[#This Row],[Area square miles]])/2827</f>
        <v>55.103998223113095</v>
      </c>
      <c r="G3" s="3">
        <f>SUM(D3/$D$3)</f>
        <v>1</v>
      </c>
    </row>
    <row r="4" spans="1:7" x14ac:dyDescent="0.25">
      <c r="A4" t="s">
        <v>8</v>
      </c>
      <c r="B4" t="s">
        <v>9</v>
      </c>
      <c r="C4" s="1" t="s">
        <v>10</v>
      </c>
      <c r="D4" s="1" t="s">
        <v>11</v>
      </c>
      <c r="E4" s="1">
        <f>SUM(us_states___ranking_by_population_2026[[#This Row],[Column1.pop2026]]/us_states___ranking_by_population_2026[[#This Row],[Column1.densityMi]])</f>
        <v>261232.00432325763</v>
      </c>
      <c r="F4" s="2">
        <f>SUM(us_states___ranking_by_population_2026[[#This Row],[Area square miles]])/2827</f>
        <v>92.406085717459362</v>
      </c>
      <c r="G4" s="3">
        <f t="shared" ref="G4:G34" si="0">SUM(D4/$D$3)</f>
        <v>0.48452660599900116</v>
      </c>
    </row>
    <row r="5" spans="1:7" x14ac:dyDescent="0.25">
      <c r="A5" t="s">
        <v>12</v>
      </c>
      <c r="B5" t="s">
        <v>13</v>
      </c>
      <c r="C5" s="1" t="s">
        <v>14</v>
      </c>
      <c r="D5" s="1" t="s">
        <v>15</v>
      </c>
      <c r="E5" s="1">
        <f>SUM(us_states___ranking_by_population_2026[[#This Row],[Column1.pop2026]]/us_states___ranking_by_population_2026[[#This Row],[Column1.densityMi]])</f>
        <v>53625.000529479294</v>
      </c>
      <c r="F5" s="2">
        <f>SUM(us_states___ranking_by_population_2026[[#This Row],[Area square miles]])/2827</f>
        <v>18.96887178262444</v>
      </c>
      <c r="G5" s="3">
        <f t="shared" si="0"/>
        <v>1.7698541366981406</v>
      </c>
    </row>
    <row r="6" spans="1:7" x14ac:dyDescent="0.25">
      <c r="A6" t="s">
        <v>16</v>
      </c>
      <c r="B6" t="s">
        <v>17</v>
      </c>
      <c r="C6" s="1" t="s">
        <v>18</v>
      </c>
      <c r="D6" s="1" t="s">
        <v>19</v>
      </c>
      <c r="E6" s="1">
        <f>SUM(us_states___ranking_by_population_2026[[#This Row],[Column1.pop2026]]/us_states___ranking_by_population_2026[[#This Row],[Column1.densityMi]])</f>
        <v>47126.000037275597</v>
      </c>
      <c r="F6" s="2">
        <f>SUM(us_states___ranking_by_population_2026[[#This Row],[Area square miles]])/2827</f>
        <v>16.669968177317156</v>
      </c>
      <c r="G6" s="3">
        <f t="shared" si="0"/>
        <v>1.6676068784314739</v>
      </c>
    </row>
    <row r="7" spans="1:7" x14ac:dyDescent="0.25">
      <c r="A7" t="s">
        <v>20</v>
      </c>
      <c r="B7" t="s">
        <v>21</v>
      </c>
      <c r="C7" s="1" t="s">
        <v>22</v>
      </c>
      <c r="D7" s="1" t="s">
        <v>23</v>
      </c>
      <c r="E7" s="1">
        <f>SUM(us_states___ranking_by_population_2026[[#This Row],[Column1.pop2026]]/us_states___ranking_by_population_2026[[#This Row],[Column1.densityMi]])</f>
        <v>44742.999246532883</v>
      </c>
      <c r="F7" s="2">
        <f>SUM(us_states___ranking_by_population_2026[[#This Row],[Area square miles]])/2827</f>
        <v>15.827024848437524</v>
      </c>
      <c r="G7" s="3">
        <f t="shared" si="0"/>
        <v>1.1519944030074385</v>
      </c>
    </row>
    <row r="8" spans="1:7" x14ac:dyDescent="0.25">
      <c r="A8" t="s">
        <v>24</v>
      </c>
      <c r="B8" t="s">
        <v>25</v>
      </c>
      <c r="C8" s="1" t="s">
        <v>26</v>
      </c>
      <c r="D8" s="1" t="s">
        <v>27</v>
      </c>
      <c r="E8" s="1">
        <f>SUM(us_states___ranking_by_population_2026[[#This Row],[Column1.pop2026]]/us_states___ranking_by_population_2026[[#This Row],[Column1.densityMi]])</f>
        <v>55518.999568891471</v>
      </c>
      <c r="F8" s="2">
        <f>SUM(us_states___ranking_by_population_2026[[#This Row],[Area square miles]])/2827</f>
        <v>19.638839606965501</v>
      </c>
      <c r="G8" s="3">
        <f t="shared" si="0"/>
        <v>0.90344453769034327</v>
      </c>
    </row>
    <row r="9" spans="1:7" x14ac:dyDescent="0.25">
      <c r="A9" t="s">
        <v>28</v>
      </c>
      <c r="B9" t="s">
        <v>29</v>
      </c>
      <c r="C9" s="1" t="s">
        <v>30</v>
      </c>
      <c r="D9" s="1" t="s">
        <v>31</v>
      </c>
      <c r="E9" s="1">
        <f>SUM(us_states___ranking_by_population_2026[[#This Row],[Column1.pop2026]]/us_states___ranking_by_population_2026[[#This Row],[Column1.densityMi]])</f>
        <v>40861.000082322564</v>
      </c>
      <c r="F9" s="2">
        <f>SUM(us_states___ranking_by_population_2026[[#This Row],[Area square miles]])/2827</f>
        <v>14.453838019923086</v>
      </c>
      <c r="G9" s="3">
        <f t="shared" si="0"/>
        <v>1.1468658048173792</v>
      </c>
    </row>
    <row r="10" spans="1:7" x14ac:dyDescent="0.25">
      <c r="A10" t="s">
        <v>32</v>
      </c>
      <c r="B10" t="s">
        <v>33</v>
      </c>
      <c r="C10" s="1" t="s">
        <v>34</v>
      </c>
      <c r="D10" s="1" t="s">
        <v>35</v>
      </c>
      <c r="E10" s="1">
        <f>SUM(us_states___ranking_by_population_2026[[#This Row],[Column1.pop2026]]/us_states___ranking_by_population_2026[[#This Row],[Column1.densityMi]])</f>
        <v>57513.000362800827</v>
      </c>
      <c r="F10" s="2">
        <f>SUM(us_states___ranking_by_population_2026[[#This Row],[Area square miles]])/2827</f>
        <v>20.34418123905229</v>
      </c>
      <c r="G10" s="3">
        <f t="shared" si="0"/>
        <v>0.77488890763958795</v>
      </c>
    </row>
    <row r="11" spans="1:7" x14ac:dyDescent="0.25">
      <c r="A11" t="s">
        <v>36</v>
      </c>
      <c r="B11" t="s">
        <v>37</v>
      </c>
      <c r="C11" s="1" t="s">
        <v>38</v>
      </c>
      <c r="D11" s="1" t="s">
        <v>39</v>
      </c>
      <c r="E11" s="1">
        <f>SUM(us_states___ranking_by_population_2026[[#This Row],[Column1.pop2026]]/us_states___ranking_by_population_2026[[#This Row],[Column1.densityMi]])</f>
        <v>48618.000314897035</v>
      </c>
      <c r="F11" s="2">
        <f>SUM(us_states___ranking_by_population_2026[[#This Row],[Area square miles]])/2827</f>
        <v>17.19773622741317</v>
      </c>
      <c r="G11" s="3">
        <f t="shared" si="0"/>
        <v>0.91360033192121315</v>
      </c>
    </row>
    <row r="12" spans="1:7" x14ac:dyDescent="0.25">
      <c r="A12" t="s">
        <v>40</v>
      </c>
      <c r="B12" t="s">
        <v>41</v>
      </c>
      <c r="C12" s="1" t="s">
        <v>42</v>
      </c>
      <c r="D12" s="1" t="s">
        <v>43</v>
      </c>
      <c r="E12" s="1">
        <f>SUM(us_states___ranking_by_population_2026[[#This Row],[Column1.pop2026]]/us_states___ranking_by_population_2026[[#This Row],[Column1.densityMi]])</f>
        <v>56538.999653312894</v>
      </c>
      <c r="F12" s="2">
        <f>SUM(us_states___ranking_by_population_2026[[#This Row],[Area square miles]])/2827</f>
        <v>19.999646145494481</v>
      </c>
      <c r="G12" s="3">
        <f t="shared" si="0"/>
        <v>0.70819042378718711</v>
      </c>
    </row>
    <row r="13" spans="1:7" x14ac:dyDescent="0.25">
      <c r="A13" t="s">
        <v>44</v>
      </c>
      <c r="B13" t="s">
        <v>45</v>
      </c>
      <c r="C13" s="1" t="s">
        <v>46</v>
      </c>
      <c r="D13" s="1" t="s">
        <v>47</v>
      </c>
      <c r="E13" s="1">
        <f>SUM(us_states___ranking_by_population_2026[[#This Row],[Column1.pop2026]]/us_states___ranking_by_population_2026[[#This Row],[Column1.densityMi]])</f>
        <v>7353.9999737639382</v>
      </c>
      <c r="F13" s="2">
        <f>SUM(us_states___ranking_by_population_2026[[#This Row],[Area square miles]])/2827</f>
        <v>2.6013441718301866</v>
      </c>
      <c r="G13" s="3">
        <f t="shared" si="0"/>
        <v>5.1731649227280085</v>
      </c>
    </row>
    <row r="14" spans="1:7" x14ac:dyDescent="0.25">
      <c r="A14" t="s">
        <v>48</v>
      </c>
      <c r="B14" t="s">
        <v>49</v>
      </c>
      <c r="C14" s="1" t="s">
        <v>50</v>
      </c>
      <c r="D14" s="1" t="s">
        <v>51</v>
      </c>
      <c r="E14" s="1">
        <f>SUM(us_states___ranking_by_population_2026[[#This Row],[Column1.pop2026]]/us_states___ranking_by_population_2026[[#This Row],[Column1.densityMi]])</f>
        <v>39489.999438325372</v>
      </c>
      <c r="F14" s="2">
        <f>SUM(us_states___ranking_by_population_2026[[#This Row],[Area square miles]])/2827</f>
        <v>13.968871396648522</v>
      </c>
      <c r="G14" s="3">
        <f t="shared" si="0"/>
        <v>0.88634049014370719</v>
      </c>
    </row>
    <row r="15" spans="1:7" x14ac:dyDescent="0.25">
      <c r="A15" t="s">
        <v>52</v>
      </c>
      <c r="B15" t="s">
        <v>53</v>
      </c>
      <c r="C15" s="1" t="s">
        <v>54</v>
      </c>
      <c r="D15" s="1" t="s">
        <v>55</v>
      </c>
      <c r="E15" s="1">
        <f>SUM(us_states___ranking_by_population_2026[[#This Row],[Column1.pop2026]]/us_states___ranking_by_population_2026[[#This Row],[Column1.densityMi]])</f>
        <v>66455.997487020359</v>
      </c>
      <c r="F15" s="2">
        <f>SUM(us_states___ranking_by_population_2026[[#This Row],[Area square miles]])/2827</f>
        <v>23.507604346310703</v>
      </c>
      <c r="G15" s="3">
        <f t="shared" si="0"/>
        <v>0.47943072825602323</v>
      </c>
    </row>
    <row r="16" spans="1:7" x14ac:dyDescent="0.25">
      <c r="A16" t="s">
        <v>56</v>
      </c>
      <c r="B16" t="s">
        <v>57</v>
      </c>
      <c r="C16" s="1" t="s">
        <v>58</v>
      </c>
      <c r="D16" s="1" t="s">
        <v>59</v>
      </c>
      <c r="E16" s="1">
        <f>SUM(us_states___ranking_by_population_2026[[#This Row],[Column1.pop2026]]/us_states___ranking_by_population_2026[[#This Row],[Column1.densityMi]])</f>
        <v>113594.00354829278</v>
      </c>
      <c r="F16" s="2">
        <f>SUM(us_states___ranking_by_population_2026[[#This Row],[Area square miles]])/2827</f>
        <v>40.181819436962428</v>
      </c>
      <c r="G16" s="3">
        <f t="shared" si="0"/>
        <v>0.2681486712472429</v>
      </c>
    </row>
    <row r="17" spans="1:7" x14ac:dyDescent="0.25">
      <c r="A17" t="s">
        <v>60</v>
      </c>
      <c r="B17" t="s">
        <v>61</v>
      </c>
      <c r="C17" s="1" t="s">
        <v>62</v>
      </c>
      <c r="D17" s="1" t="s">
        <v>63</v>
      </c>
      <c r="E17" s="1">
        <f>SUM(us_states___ranking_by_population_2026[[#This Row],[Column1.pop2026]]/us_states___ranking_by_population_2026[[#This Row],[Column1.densityMi]])</f>
        <v>41235.000156306523</v>
      </c>
      <c r="F17" s="2">
        <f>SUM(us_states___ranking_by_population_2026[[#This Row],[Area square miles]])/2827</f>
        <v>14.586133765937928</v>
      </c>
      <c r="G17" s="3">
        <f t="shared" si="0"/>
        <v>0.69944914463558228</v>
      </c>
    </row>
    <row r="18" spans="1:7" x14ac:dyDescent="0.25">
      <c r="A18" t="s">
        <v>64</v>
      </c>
      <c r="B18" t="s">
        <v>65</v>
      </c>
      <c r="C18" s="1" t="s">
        <v>66</v>
      </c>
      <c r="D18" s="1" t="s">
        <v>67</v>
      </c>
      <c r="E18" s="1">
        <f>SUM(us_states___ranking_by_population_2026[[#This Row],[Column1.pop2026]]/us_states___ranking_by_population_2026[[#This Row],[Column1.densityMi]])</f>
        <v>7799.9999635482955</v>
      </c>
      <c r="F18" s="2">
        <f>SUM(us_states___ranking_by_population_2026[[#This Row],[Area square miles]])/2827</f>
        <v>2.7591085827903417</v>
      </c>
      <c r="G18" s="3">
        <f t="shared" si="0"/>
        <v>3.6419693929501964</v>
      </c>
    </row>
    <row r="19" spans="1:7" x14ac:dyDescent="0.25">
      <c r="A19" t="s">
        <v>68</v>
      </c>
      <c r="B19" t="s">
        <v>69</v>
      </c>
      <c r="C19" s="1" t="s">
        <v>70</v>
      </c>
      <c r="D19" s="1" t="s">
        <v>71</v>
      </c>
      <c r="E19" s="1">
        <f>SUM(us_states___ranking_by_population_2026[[#This Row],[Column1.pop2026]]/us_states___ranking_by_population_2026[[#This Row],[Column1.densityMi]])</f>
        <v>35825.999475527184</v>
      </c>
      <c r="F19" s="2">
        <f>SUM(us_states___ranking_by_population_2026[[#This Row],[Area square miles]])/2827</f>
        <v>12.67279783357877</v>
      </c>
      <c r="G19" s="3">
        <f t="shared" si="0"/>
        <v>0.7642817430408626</v>
      </c>
    </row>
    <row r="20" spans="1:7" x14ac:dyDescent="0.25">
      <c r="A20" t="s">
        <v>72</v>
      </c>
      <c r="B20" t="s">
        <v>73</v>
      </c>
      <c r="C20" s="1" t="s">
        <v>74</v>
      </c>
      <c r="D20" s="1" t="s">
        <v>75</v>
      </c>
      <c r="E20" s="1">
        <f>SUM(us_states___ranking_by_population_2026[[#This Row],[Column1.pop2026]]/us_states___ranking_by_population_2026[[#This Row],[Column1.densityMi]])</f>
        <v>9706.9999713778561</v>
      </c>
      <c r="F20" s="2">
        <f>SUM(us_states___ranking_by_population_2026[[#This Row],[Area square miles]])/2827</f>
        <v>3.4336752640176358</v>
      </c>
      <c r="G20" s="3">
        <f t="shared" si="0"/>
        <v>2.5564814071135427</v>
      </c>
    </row>
    <row r="21" spans="1:7" x14ac:dyDescent="0.25">
      <c r="A21" t="s">
        <v>76</v>
      </c>
      <c r="B21" t="s">
        <v>77</v>
      </c>
      <c r="C21" s="1" t="s">
        <v>78</v>
      </c>
      <c r="D21" s="1" t="s">
        <v>79</v>
      </c>
      <c r="E21" s="1">
        <f>SUM(us_states___ranking_by_population_2026[[#This Row],[Column1.pop2026]]/us_states___ranking_by_population_2026[[#This Row],[Column1.densityMi]])</f>
        <v>68741.997047506695</v>
      </c>
      <c r="F21" s="2">
        <f>SUM(us_states___ranking_by_population_2026[[#This Row],[Area square miles]])/2827</f>
        <v>24.316235248499009</v>
      </c>
      <c r="G21" s="3">
        <f t="shared" si="0"/>
        <v>0.35899808585384568</v>
      </c>
    </row>
    <row r="22" spans="1:7" x14ac:dyDescent="0.25">
      <c r="A22" t="s">
        <v>80</v>
      </c>
      <c r="B22" t="s">
        <v>81</v>
      </c>
      <c r="C22" s="1" t="s">
        <v>82</v>
      </c>
      <c r="D22" s="1" t="s">
        <v>83</v>
      </c>
      <c r="E22" s="1">
        <f>SUM(us_states___ranking_by_population_2026[[#This Row],[Column1.pop2026]]/us_states___ranking_by_population_2026[[#This Row],[Column1.densityMi]])</f>
        <v>103642.00087902241</v>
      </c>
      <c r="F22" s="2">
        <f>SUM(us_states___ranking_by_population_2026[[#This Row],[Area square miles]])/2827</f>
        <v>36.661478910160028</v>
      </c>
      <c r="G22" s="3">
        <f t="shared" si="0"/>
        <v>0.22867242799031992</v>
      </c>
    </row>
    <row r="23" spans="1:7" x14ac:dyDescent="0.25">
      <c r="A23" t="s">
        <v>84</v>
      </c>
      <c r="B23" t="s">
        <v>85</v>
      </c>
      <c r="C23" s="1" t="s">
        <v>86</v>
      </c>
      <c r="D23" s="1" t="s">
        <v>87</v>
      </c>
      <c r="E23" s="1">
        <f>SUM(us_states___ranking_by_population_2026[[#This Row],[Column1.pop2026]]/us_states___ranking_by_population_2026[[#This Row],[Column1.densityMi]])</f>
        <v>54158.000614953547</v>
      </c>
      <c r="F23" s="2">
        <f>SUM(us_states___ranking_by_population_2026[[#This Row],[Area square miles]])/2827</f>
        <v>19.157410900231181</v>
      </c>
      <c r="G23" s="3">
        <f t="shared" si="0"/>
        <v>0.43417218069324165</v>
      </c>
    </row>
    <row r="24" spans="1:7" x14ac:dyDescent="0.25">
      <c r="A24" t="s">
        <v>88</v>
      </c>
      <c r="B24" t="s">
        <v>89</v>
      </c>
      <c r="C24" s="1" t="s">
        <v>90</v>
      </c>
      <c r="D24" s="1" t="s">
        <v>91</v>
      </c>
      <c r="E24" s="1">
        <f>SUM(us_states___ranking_by_population_2026[[#This Row],[Column1.pop2026]]/us_states___ranking_by_population_2026[[#This Row],[Column1.densityMi]])</f>
        <v>79627.000263418668</v>
      </c>
      <c r="F24" s="2">
        <f>SUM(us_states___ranking_by_population_2026[[#This Row],[Area square miles]])/2827</f>
        <v>28.166607804534372</v>
      </c>
      <c r="G24" s="3">
        <f t="shared" si="0"/>
        <v>0.28800596090015901</v>
      </c>
    </row>
    <row r="25" spans="1:7" x14ac:dyDescent="0.25">
      <c r="A25" t="s">
        <v>92</v>
      </c>
      <c r="B25" t="s">
        <v>93</v>
      </c>
      <c r="C25" s="1" t="s">
        <v>94</v>
      </c>
      <c r="D25" s="1" t="s">
        <v>95</v>
      </c>
      <c r="E25" s="1">
        <f>SUM(us_states___ranking_by_population_2026[[#This Row],[Column1.pop2026]]/us_states___ranking_by_population_2026[[#This Row],[Column1.densityMi]])</f>
        <v>30061.000545744886</v>
      </c>
      <c r="F25" s="2">
        <f>SUM(us_states___ranking_by_population_2026[[#This Row],[Area square miles]])/2827</f>
        <v>10.633533974441063</v>
      </c>
      <c r="G25" s="3">
        <f t="shared" si="0"/>
        <v>0.73527854178633412</v>
      </c>
    </row>
    <row r="26" spans="1:7" x14ac:dyDescent="0.25">
      <c r="A26" t="s">
        <v>96</v>
      </c>
      <c r="B26" t="s">
        <v>97</v>
      </c>
      <c r="C26" s="1" t="s">
        <v>98</v>
      </c>
      <c r="D26" s="1" t="s">
        <v>99</v>
      </c>
      <c r="E26" s="1">
        <f>SUM(us_states___ranking_by_population_2026[[#This Row],[Column1.pop2026]]/us_states___ranking_by_population_2026[[#This Row],[Column1.densityMi]])</f>
        <v>50645.000375649521</v>
      </c>
      <c r="F26" s="2">
        <f>SUM(us_states___ranking_by_population_2026[[#This Row],[Area square miles]])/2827</f>
        <v>17.914750751909981</v>
      </c>
      <c r="G26" s="3">
        <f t="shared" si="0"/>
        <v>0.4038158835280154</v>
      </c>
    </row>
    <row r="27" spans="1:7" x14ac:dyDescent="0.25">
      <c r="A27" t="s">
        <v>100</v>
      </c>
      <c r="B27" t="s">
        <v>101</v>
      </c>
      <c r="C27" s="1" t="s">
        <v>102</v>
      </c>
      <c r="D27" s="1" t="s">
        <v>103</v>
      </c>
      <c r="E27" s="1">
        <f>SUM(us_states___ranking_by_population_2026[[#This Row],[Column1.pop2026]]/us_states___ranking_by_population_2026[[#This Row],[Column1.densityMi]])</f>
        <v>39486.000377256132</v>
      </c>
      <c r="F27" s="2">
        <f>SUM(us_states___ranking_by_population_2026[[#This Row],[Area square miles]])/2827</f>
        <v>13.96745680129329</v>
      </c>
      <c r="G27" s="3">
        <f t="shared" si="0"/>
        <v>0.46119446733942976</v>
      </c>
    </row>
    <row r="28" spans="1:7" x14ac:dyDescent="0.25">
      <c r="A28" t="s">
        <v>104</v>
      </c>
      <c r="B28" t="s">
        <v>105</v>
      </c>
      <c r="C28" s="1" t="s">
        <v>106</v>
      </c>
      <c r="D28" s="1" t="s">
        <v>107</v>
      </c>
      <c r="E28" s="1">
        <f>SUM(us_states___ranking_by_population_2026[[#This Row],[Column1.pop2026]]/us_states___ranking_by_population_2026[[#This Row],[Column1.densityMi]])</f>
        <v>43203.998691457113</v>
      </c>
      <c r="F28" s="2">
        <f>SUM(us_states___ranking_by_population_2026[[#This Row],[Area square miles]])/2827</f>
        <v>15.282631302248713</v>
      </c>
      <c r="G28" s="3">
        <f t="shared" si="0"/>
        <v>0.4172714450415384</v>
      </c>
    </row>
    <row r="29" spans="1:7" x14ac:dyDescent="0.25">
      <c r="A29" t="s">
        <v>108</v>
      </c>
      <c r="B29" t="s">
        <v>109</v>
      </c>
      <c r="C29" s="1" t="s">
        <v>110</v>
      </c>
      <c r="D29" s="1" t="s">
        <v>111</v>
      </c>
      <c r="E29" s="1">
        <f>SUM(us_states___ranking_by_population_2026[[#This Row],[Column1.pop2026]]/us_states___ranking_by_population_2026[[#This Row],[Column1.densityMi]])</f>
        <v>95987.99273131731</v>
      </c>
      <c r="F29" s="2">
        <f>SUM(us_states___ranking_by_population_2026[[#This Row],[Area square miles]])/2827</f>
        <v>33.95401228557386</v>
      </c>
      <c r="G29" s="3">
        <f t="shared" si="0"/>
        <v>0.17531392984790811</v>
      </c>
    </row>
    <row r="30" spans="1:7" x14ac:dyDescent="0.25">
      <c r="A30" t="s">
        <v>112</v>
      </c>
      <c r="B30" t="s">
        <v>113</v>
      </c>
      <c r="C30" s="1" t="s">
        <v>114</v>
      </c>
      <c r="D30" s="1" t="s">
        <v>115</v>
      </c>
      <c r="E30" s="1">
        <f>SUM(us_states___ranking_by_population_2026[[#This Row],[Column1.pop2026]]/us_states___ranking_by_population_2026[[#This Row],[Column1.densityMi]])</f>
        <v>68594.995380450157</v>
      </c>
      <c r="F30" s="2">
        <f>SUM(us_states___ranking_by_population_2026[[#This Row],[Area square miles]])/2827</f>
        <v>24.264236073735464</v>
      </c>
      <c r="G30" s="3">
        <f t="shared" si="0"/>
        <v>0.23670701576754613</v>
      </c>
    </row>
    <row r="31" spans="1:7" x14ac:dyDescent="0.25">
      <c r="A31" t="s">
        <v>116</v>
      </c>
      <c r="B31" t="s">
        <v>117</v>
      </c>
      <c r="C31" s="1" t="s">
        <v>118</v>
      </c>
      <c r="D31" s="1" t="s">
        <v>119</v>
      </c>
      <c r="E31" s="1">
        <f>SUM(us_states___ranking_by_population_2026[[#This Row],[Column1.pop2026]]/us_states___ranking_by_population_2026[[#This Row],[Column1.densityMi]])</f>
        <v>4842.0000238010571</v>
      </c>
      <c r="F31" s="2">
        <f>SUM(us_states___ranking_by_population_2026[[#This Row],[Area square miles]])/2827</f>
        <v>1.7127697289710142</v>
      </c>
      <c r="G31" s="3">
        <f t="shared" si="0"/>
        <v>3.0152579583604586</v>
      </c>
    </row>
    <row r="32" spans="1:7" x14ac:dyDescent="0.25">
      <c r="A32" t="s">
        <v>120</v>
      </c>
      <c r="B32" t="s">
        <v>121</v>
      </c>
      <c r="C32" s="1" t="s">
        <v>122</v>
      </c>
      <c r="D32" s="1" t="s">
        <v>123</v>
      </c>
      <c r="E32" s="1">
        <f>SUM(us_states___ranking_by_population_2026[[#This Row],[Column1.pop2026]]/us_states___ranking_by_population_2026[[#This Row],[Column1.densityMi]])</f>
        <v>82169.99149371461</v>
      </c>
      <c r="F32" s="2">
        <f>SUM(us_states___ranking_by_population_2026[[#This Row],[Area square miles]])/2827</f>
        <v>29.066144850977931</v>
      </c>
      <c r="G32" s="3">
        <f t="shared" si="0"/>
        <v>0.17222575218665709</v>
      </c>
    </row>
    <row r="33" spans="1:7" x14ac:dyDescent="0.25">
      <c r="A33" t="s">
        <v>124</v>
      </c>
      <c r="B33" t="s">
        <v>125</v>
      </c>
      <c r="C33" s="1" t="s">
        <v>126</v>
      </c>
      <c r="D33" s="1" t="s">
        <v>127</v>
      </c>
      <c r="E33" s="1">
        <f>SUM(us_states___ranking_by_population_2026[[#This Row],[Column1.pop2026]]/us_states___ranking_by_population_2026[[#This Row],[Column1.densityMi]])</f>
        <v>109781.00289609839</v>
      </c>
      <c r="F33" s="2">
        <f>SUM(us_states___ranking_by_population_2026[[#This Row],[Area square miles]])/2827</f>
        <v>38.833039581216269</v>
      </c>
      <c r="G33" s="3">
        <f t="shared" si="0"/>
        <v>0.11999189251356562</v>
      </c>
    </row>
    <row r="34" spans="1:7" x14ac:dyDescent="0.25">
      <c r="A34" t="s">
        <v>128</v>
      </c>
      <c r="B34" t="s">
        <v>129</v>
      </c>
      <c r="C34" s="1" t="s">
        <v>130</v>
      </c>
      <c r="D34" s="1" t="s">
        <v>131</v>
      </c>
      <c r="E34" s="1">
        <f>SUM(us_states___ranking_by_population_2026[[#This Row],[Column1.pop2026]]/us_states___ranking_by_population_2026[[#This Row],[Column1.densityMi]])</f>
        <v>55856.995869391772</v>
      </c>
      <c r="F34" s="2">
        <f>SUM(us_states___ranking_by_population_2026[[#This Row],[Area square miles]])/2827</f>
        <v>19.75839967081421</v>
      </c>
      <c r="G34" s="3">
        <f t="shared" si="0"/>
        <v>0.22981686272058335</v>
      </c>
    </row>
    <row r="35" spans="1:7" x14ac:dyDescent="0.25">
      <c r="A35" t="s">
        <v>132</v>
      </c>
      <c r="B35" t="s">
        <v>133</v>
      </c>
      <c r="C35" s="1" t="s">
        <v>134</v>
      </c>
      <c r="D35" s="1" t="s">
        <v>135</v>
      </c>
      <c r="E35" s="1">
        <f>SUM(us_states___ranking_by_population_2026[[#This Row],[Column1.pop2026]]/us_states___ranking_by_population_2026[[#This Row],[Column1.densityMi]])</f>
        <v>52035.00004327733</v>
      </c>
      <c r="F35" s="2">
        <f>SUM(us_states___ranking_by_population_2026[[#This Row],[Area square miles]])/2827</f>
        <v>18.406437935365169</v>
      </c>
      <c r="G35" s="3">
        <f t="shared" ref="G35:G52" si="1">SUM(D35/$D$3)</f>
        <v>0.23457842964266346</v>
      </c>
    </row>
    <row r="36" spans="1:7" x14ac:dyDescent="0.25">
      <c r="A36" t="s">
        <v>136</v>
      </c>
      <c r="B36" t="s">
        <v>137</v>
      </c>
      <c r="C36" s="1" t="s">
        <v>138</v>
      </c>
      <c r="D36" s="1" t="s">
        <v>139</v>
      </c>
      <c r="E36" s="1">
        <f>SUM(us_states___ranking_by_population_2026[[#This Row],[Column1.pop2026]]/us_states___ranking_by_population_2026[[#This Row],[Column1.densityMi]])</f>
        <v>81758.991377701037</v>
      </c>
      <c r="F36" s="2">
        <f>SUM(us_states___ranking_by_population_2026[[#This Row],[Area square miles]])/2827</f>
        <v>28.920761010859934</v>
      </c>
      <c r="G36" s="3">
        <f t="shared" si="1"/>
        <v>0.14369309282685414</v>
      </c>
    </row>
    <row r="37" spans="1:7" x14ac:dyDescent="0.25">
      <c r="A37" t="s">
        <v>140</v>
      </c>
      <c r="B37" t="s">
        <v>141</v>
      </c>
      <c r="C37" s="1" t="s">
        <v>142</v>
      </c>
      <c r="D37" s="1" t="s">
        <v>143</v>
      </c>
      <c r="E37" s="1">
        <f>SUM(us_states___ranking_by_population_2026[[#This Row],[Column1.pop2026]]/us_states___ranking_by_population_2026[[#This Row],[Column1.densityMi]])</f>
        <v>46922.999650802914</v>
      </c>
      <c r="F37" s="2">
        <f>SUM(us_states___ranking_by_population_2026[[#This Row],[Area square miles]])/2827</f>
        <v>16.598160470747406</v>
      </c>
      <c r="G37" s="3">
        <f t="shared" si="1"/>
        <v>0.24487740511392475</v>
      </c>
    </row>
    <row r="38" spans="1:7" x14ac:dyDescent="0.25">
      <c r="A38" t="s">
        <v>144</v>
      </c>
      <c r="B38" t="s">
        <v>145</v>
      </c>
      <c r="C38" s="1" t="s">
        <v>146</v>
      </c>
      <c r="D38" s="1" t="s">
        <v>147</v>
      </c>
      <c r="E38" s="1">
        <f>SUM(us_states___ranking_by_population_2026[[#This Row],[Column1.pop2026]]/us_states___ranking_by_population_2026[[#This Row],[Column1.densityMi]])</f>
        <v>121298.00678407053</v>
      </c>
      <c r="F38" s="2">
        <f>SUM(us_states___ranking_by_population_2026[[#This Row],[Area square miles]])/2827</f>
        <v>42.90697091760542</v>
      </c>
      <c r="G38" s="3">
        <f t="shared" si="1"/>
        <v>6.9158374265454278E-2</v>
      </c>
    </row>
    <row r="39" spans="1:7" x14ac:dyDescent="0.25">
      <c r="A39" t="s">
        <v>148</v>
      </c>
      <c r="B39" t="s">
        <v>149</v>
      </c>
      <c r="C39" s="1" t="s">
        <v>150</v>
      </c>
      <c r="D39" s="1" t="s">
        <v>151</v>
      </c>
      <c r="E39" s="1">
        <f>SUM(us_states___ranking_by_population_2026[[#This Row],[Column1.pop2026]]/us_states___ranking_by_population_2026[[#This Row],[Column1.densityMi]])</f>
        <v>82643.008854450687</v>
      </c>
      <c r="F39" s="2">
        <f>SUM(us_states___ranking_by_population_2026[[#This Row],[Area square miles]])/2827</f>
        <v>29.233466167120866</v>
      </c>
      <c r="G39" s="3">
        <f t="shared" si="1"/>
        <v>9.745097955764688E-2</v>
      </c>
    </row>
    <row r="40" spans="1:7" x14ac:dyDescent="0.25">
      <c r="A40" t="s">
        <v>152</v>
      </c>
      <c r="B40" t="s">
        <v>153</v>
      </c>
      <c r="C40" s="1" t="s">
        <v>154</v>
      </c>
      <c r="D40" s="1" t="s">
        <v>155</v>
      </c>
      <c r="E40" s="1">
        <f>SUM(us_states___ranking_by_population_2026[[#This Row],[Column1.pop2026]]/us_states___ranking_by_population_2026[[#This Row],[Column1.densityMi]])</f>
        <v>76824.008806260768</v>
      </c>
      <c r="F40" s="2">
        <f>SUM(us_states___ranking_by_population_2026[[#This Row],[Area square miles]])/2827</f>
        <v>27.175100391319692</v>
      </c>
      <c r="G40" s="3">
        <f t="shared" si="1"/>
        <v>0.10371725754080381</v>
      </c>
    </row>
    <row r="41" spans="1:7" x14ac:dyDescent="0.25">
      <c r="A41" t="s">
        <v>156</v>
      </c>
      <c r="B41" t="s">
        <v>157</v>
      </c>
      <c r="C41" s="1" t="s">
        <v>158</v>
      </c>
      <c r="D41" s="1" t="s">
        <v>159</v>
      </c>
      <c r="E41" s="1">
        <f>SUM(us_states___ranking_by_population_2026[[#This Row],[Column1.pop2026]]/us_states___ranking_by_population_2026[[#This Row],[Column1.densityMi]])</f>
        <v>24038.000954752788</v>
      </c>
      <c r="F41" s="2">
        <f>SUM(us_states___ranking_by_population_2026[[#This Row],[Area square miles]])/2827</f>
        <v>8.5030070586320434</v>
      </c>
      <c r="G41" s="3">
        <f t="shared" si="1"/>
        <v>0.28733757353364081</v>
      </c>
    </row>
    <row r="42" spans="1:7" x14ac:dyDescent="0.25">
      <c r="A42" t="s">
        <v>160</v>
      </c>
      <c r="B42" t="s">
        <v>161</v>
      </c>
      <c r="C42" s="1" t="s">
        <v>162</v>
      </c>
      <c r="D42" s="1" t="s">
        <v>163</v>
      </c>
      <c r="E42" s="1">
        <f>SUM(us_states___ranking_by_population_2026[[#This Row],[Column1.pop2026]]/us_states___ranking_by_population_2026[[#This Row],[Column1.densityMi]])</f>
        <v>6423.0001348880332</v>
      </c>
      <c r="F42" s="2">
        <f>SUM(us_states___ranking_by_population_2026[[#This Row],[Area square miles]])/2827</f>
        <v>2.2720198566989858</v>
      </c>
      <c r="G42" s="3">
        <f t="shared" si="1"/>
        <v>0.88490617880349909</v>
      </c>
    </row>
    <row r="43" spans="1:7" x14ac:dyDescent="0.25">
      <c r="A43" t="s">
        <v>164</v>
      </c>
      <c r="B43" t="s">
        <v>165</v>
      </c>
      <c r="C43" s="1" t="s">
        <v>166</v>
      </c>
      <c r="D43" s="1" t="s">
        <v>167</v>
      </c>
      <c r="E43" s="1">
        <f>SUM(us_states___ranking_by_population_2026[[#This Row],[Column1.pop2026]]/us_states___ranking_by_population_2026[[#This Row],[Column1.densityMi]])</f>
        <v>8952.9999283231391</v>
      </c>
      <c r="F43" s="2">
        <f>SUM(us_states___ranking_by_population_2026[[#This Row],[Area square miles]])/2827</f>
        <v>3.1669614178716445</v>
      </c>
      <c r="G43" s="3">
        <f t="shared" si="1"/>
        <v>0.62046881840960122</v>
      </c>
    </row>
    <row r="44" spans="1:7" x14ac:dyDescent="0.25">
      <c r="A44" t="s">
        <v>168</v>
      </c>
      <c r="B44" t="s">
        <v>169</v>
      </c>
      <c r="C44" s="1" t="s">
        <v>170</v>
      </c>
      <c r="D44" s="1" t="s">
        <v>171</v>
      </c>
      <c r="E44" s="1">
        <f>SUM(us_states___ranking_by_population_2026[[#This Row],[Column1.pop2026]]/us_states___ranking_by_population_2026[[#This Row],[Column1.densityMi]])</f>
        <v>30843.000773395204</v>
      </c>
      <c r="F44" s="2">
        <f>SUM(us_states___ranking_by_population_2026[[#This Row],[Area square miles]])/2827</f>
        <v>10.910152378279166</v>
      </c>
      <c r="G44" s="3">
        <f t="shared" si="1"/>
        <v>0.17922644411868902</v>
      </c>
    </row>
    <row r="45" spans="1:7" x14ac:dyDescent="0.25">
      <c r="A45" t="s">
        <v>172</v>
      </c>
      <c r="B45" t="s">
        <v>173</v>
      </c>
      <c r="C45" s="1" t="s">
        <v>174</v>
      </c>
      <c r="D45" s="1" t="s">
        <v>175</v>
      </c>
      <c r="E45" s="1">
        <f>SUM(us_states___ranking_by_population_2026[[#This Row],[Column1.pop2026]]/us_states___ranking_by_population_2026[[#This Row],[Column1.densityMi]])</f>
        <v>145545.97155197526</v>
      </c>
      <c r="F45" s="2">
        <f>SUM(us_states___ranking_by_population_2026[[#This Row],[Area square miles]])/2827</f>
        <v>51.484248868756723</v>
      </c>
      <c r="G45" s="3">
        <f t="shared" si="1"/>
        <v>3.0827112381108714E-2</v>
      </c>
    </row>
    <row r="46" spans="1:7" x14ac:dyDescent="0.25">
      <c r="A46" t="s">
        <v>176</v>
      </c>
      <c r="B46" t="s">
        <v>177</v>
      </c>
      <c r="C46" s="1" t="s">
        <v>178</v>
      </c>
      <c r="D46" s="1" t="s">
        <v>179</v>
      </c>
      <c r="E46" s="1">
        <f>SUM(us_states___ranking_by_population_2026[[#This Row],[Column1.pop2026]]/us_states___ranking_by_population_2026[[#This Row],[Column1.densityMi]])</f>
        <v>1033.9999954067625</v>
      </c>
      <c r="F46" s="2">
        <f>SUM(us_states___ranking_by_population_2026[[#This Row],[Area square miles]])/2827</f>
        <v>0.36575875323903873</v>
      </c>
      <c r="G46" s="3">
        <f t="shared" si="1"/>
        <v>4.2673672460593632</v>
      </c>
    </row>
    <row r="47" spans="1:7" x14ac:dyDescent="0.25">
      <c r="A47" t="s">
        <v>180</v>
      </c>
      <c r="B47" t="s">
        <v>181</v>
      </c>
      <c r="C47" s="1" t="s">
        <v>182</v>
      </c>
      <c r="D47" s="1" t="s">
        <v>183</v>
      </c>
      <c r="E47" s="1">
        <f>SUM(us_states___ranking_by_population_2026[[#This Row],[Column1.pop2026]]/us_states___ranking_by_population_2026[[#This Row],[Column1.densityMi]])</f>
        <v>1948.9999851876719</v>
      </c>
      <c r="F47" s="2">
        <f>SUM(us_states___ranking_by_population_2026[[#This Row],[Area square miles]])/2827</f>
        <v>0.68942341181028366</v>
      </c>
      <c r="G47" s="3">
        <f t="shared" si="1"/>
        <v>2.1694604058577101</v>
      </c>
    </row>
    <row r="48" spans="1:7" x14ac:dyDescent="0.25">
      <c r="A48" t="s">
        <v>184</v>
      </c>
      <c r="B48" t="s">
        <v>185</v>
      </c>
      <c r="C48" s="1" t="s">
        <v>186</v>
      </c>
      <c r="D48" s="1" t="s">
        <v>187</v>
      </c>
      <c r="E48" s="1">
        <f>SUM(us_states___ranking_by_population_2026[[#This Row],[Column1.pop2026]]/us_states___ranking_by_population_2026[[#This Row],[Column1.densityMi]])</f>
        <v>75811.00403399294</v>
      </c>
      <c r="F48" s="2">
        <f>SUM(us_states___ranking_by_population_2026[[#This Row],[Area square miles]])/2827</f>
        <v>26.816768317648723</v>
      </c>
      <c r="G48" s="3">
        <f t="shared" si="1"/>
        <v>4.8279917724084402E-2</v>
      </c>
    </row>
    <row r="49" spans="1:7" x14ac:dyDescent="0.25">
      <c r="A49" t="s">
        <v>188</v>
      </c>
      <c r="B49" t="s">
        <v>189</v>
      </c>
      <c r="C49" s="1" t="s">
        <v>190</v>
      </c>
      <c r="D49" s="1" t="s">
        <v>191</v>
      </c>
      <c r="E49" s="1">
        <f>SUM(us_states___ranking_by_population_2026[[#This Row],[Column1.pop2026]]/us_states___ranking_by_population_2026[[#This Row],[Column1.densityMi]])</f>
        <v>69001.019359325437</v>
      </c>
      <c r="F49" s="2">
        <f>SUM(us_states___ranking_by_population_2026[[#This Row],[Area square miles]])/2827</f>
        <v>24.407859695551977</v>
      </c>
      <c r="G49" s="3">
        <f t="shared" si="1"/>
        <v>4.5926895883420249E-2</v>
      </c>
    </row>
    <row r="50" spans="1:7" x14ac:dyDescent="0.25">
      <c r="A50" t="s">
        <v>192</v>
      </c>
      <c r="B50" t="s">
        <v>193</v>
      </c>
      <c r="C50" s="1" t="s">
        <v>194</v>
      </c>
      <c r="D50" s="1" t="s">
        <v>195</v>
      </c>
      <c r="E50" s="1">
        <f>SUM(us_states___ranking_by_population_2026[[#This Row],[Column1.pop2026]]/us_states___ranking_by_population_2026[[#This Row],[Column1.densityMi]])</f>
        <v>570640.28952753264</v>
      </c>
      <c r="F50" s="2">
        <f>SUM(us_states___ranking_by_population_2026[[#This Row],[Area square miles]])/2827</f>
        <v>201.85365742042188</v>
      </c>
      <c r="G50" s="3">
        <f t="shared" si="1"/>
        <v>5.1139169393403126E-3</v>
      </c>
    </row>
    <row r="51" spans="1:7" x14ac:dyDescent="0.25">
      <c r="A51" t="s">
        <v>196</v>
      </c>
      <c r="B51" t="s">
        <v>197</v>
      </c>
      <c r="C51" s="1" t="s">
        <v>198</v>
      </c>
      <c r="D51" s="1" t="s">
        <v>199</v>
      </c>
      <c r="E51" s="1">
        <f>SUM(us_states___ranking_by_population_2026[[#This Row],[Column1.pop2026]]/us_states___ranking_by_population_2026[[#This Row],[Column1.densityMi]])</f>
        <v>9216.9995581105904</v>
      </c>
      <c r="F51" s="2">
        <f>SUM(us_states___ranking_by_population_2026[[#This Row],[Area square miles]])/2827</f>
        <v>3.2603465009234491</v>
      </c>
      <c r="G51" s="3">
        <f t="shared" si="1"/>
        <v>0.27453825611808913</v>
      </c>
    </row>
    <row r="52" spans="1:7" x14ac:dyDescent="0.25">
      <c r="A52" t="s">
        <v>200</v>
      </c>
      <c r="B52" t="s">
        <v>201</v>
      </c>
      <c r="C52" s="1" t="s">
        <v>202</v>
      </c>
      <c r="D52" s="1" t="s">
        <v>203</v>
      </c>
      <c r="E52" s="1">
        <f>SUM(us_states___ranking_by_population_2026[[#This Row],[Column1.pop2026]]/us_states___ranking_by_population_2026[[#This Row],[Column1.densityMi]])</f>
        <v>97093.040398646277</v>
      </c>
      <c r="F52" s="2">
        <f>SUM(us_states___ranking_by_population_2026[[#This Row],[Area square miles]])/2827</f>
        <v>34.344902864749301</v>
      </c>
      <c r="G52" s="3">
        <f t="shared" si="1"/>
        <v>2.3836181918969881E-2</v>
      </c>
    </row>
    <row r="54" spans="1:7" x14ac:dyDescent="0.25">
      <c r="G54" t="s">
        <v>204</v>
      </c>
    </row>
    <row r="55" spans="1:7" s="4" customFormat="1" ht="46.5" x14ac:dyDescent="0.7">
      <c r="A55" s="6" t="s">
        <v>209</v>
      </c>
      <c r="D55" s="5"/>
    </row>
    <row r="56" spans="1:7" ht="15.75" thickBot="1" x14ac:dyDescent="0.3">
      <c r="A56" t="s">
        <v>0</v>
      </c>
      <c r="B56" t="s">
        <v>1</v>
      </c>
      <c r="C56" s="1" t="s">
        <v>2</v>
      </c>
      <c r="D56" s="1" t="s">
        <v>3</v>
      </c>
      <c r="E56" t="s">
        <v>205</v>
      </c>
      <c r="F56" t="s">
        <v>206</v>
      </c>
      <c r="G56" s="3" t="s">
        <v>233</v>
      </c>
    </row>
    <row r="57" spans="1:7" ht="15.75" thickBot="1" x14ac:dyDescent="0.3">
      <c r="A57" s="8" t="s">
        <v>210</v>
      </c>
      <c r="C57" s="9">
        <f>SUM(D57*E57)</f>
        <v>111456400</v>
      </c>
      <c r="D57" s="17">
        <v>1606</v>
      </c>
      <c r="E57" s="17">
        <v>69400</v>
      </c>
      <c r="F57" s="8">
        <v>63</v>
      </c>
      <c r="G57" s="21">
        <f>SUM(D57/$D$57)</f>
        <v>1</v>
      </c>
    </row>
    <row r="58" spans="1:7" ht="15.75" thickBot="1" x14ac:dyDescent="0.3">
      <c r="A58" s="11" t="s">
        <v>211</v>
      </c>
      <c r="C58" s="9">
        <f t="shared" ref="C58:C78" si="2">SUM(D58*E58)</f>
        <v>87281800</v>
      </c>
      <c r="D58" s="11">
        <v>466</v>
      </c>
      <c r="E58" s="18">
        <v>187300</v>
      </c>
      <c r="F58" s="11">
        <v>170</v>
      </c>
      <c r="G58" s="21">
        <f t="shared" ref="G58:G79" si="3">SUM(D58/$D$57)</f>
        <v>0.29016189290161892</v>
      </c>
    </row>
    <row r="59" spans="1:7" ht="15.75" thickBot="1" x14ac:dyDescent="0.3">
      <c r="A59" s="14" t="s">
        <v>212</v>
      </c>
      <c r="C59" s="9">
        <f t="shared" si="2"/>
        <v>21855200</v>
      </c>
      <c r="D59" s="14">
        <v>34</v>
      </c>
      <c r="E59" s="19">
        <v>642800</v>
      </c>
      <c r="F59" s="14">
        <v>585</v>
      </c>
      <c r="G59" s="21">
        <f t="shared" si="3"/>
        <v>2.1170610211706103E-2</v>
      </c>
    </row>
    <row r="60" spans="1:7" ht="30.75" thickBot="1" x14ac:dyDescent="0.3">
      <c r="A60" s="11" t="s">
        <v>213</v>
      </c>
      <c r="C60" s="9">
        <f t="shared" si="2"/>
        <v>22157648</v>
      </c>
      <c r="D60" s="18">
        <v>3496</v>
      </c>
      <c r="E60" s="18">
        <v>6338</v>
      </c>
      <c r="F60" s="11">
        <v>6</v>
      </c>
      <c r="G60" s="21">
        <f t="shared" si="3"/>
        <v>2.1768368617683684</v>
      </c>
    </row>
    <row r="61" spans="1:7" ht="30.75" thickBot="1" x14ac:dyDescent="0.3">
      <c r="A61" s="14" t="s">
        <v>214</v>
      </c>
      <c r="C61" s="9">
        <f t="shared" si="2"/>
        <v>24727248</v>
      </c>
      <c r="D61" s="19">
        <v>10101</v>
      </c>
      <c r="E61" s="19">
        <v>2448</v>
      </c>
      <c r="F61" s="14">
        <v>2</v>
      </c>
      <c r="G61" s="21">
        <f t="shared" si="3"/>
        <v>6.2895392278953919</v>
      </c>
    </row>
    <row r="62" spans="1:7" ht="30.75" thickBot="1" x14ac:dyDescent="0.3">
      <c r="A62" s="11" t="s">
        <v>215</v>
      </c>
      <c r="C62" s="9">
        <f t="shared" si="2"/>
        <v>32118000</v>
      </c>
      <c r="D62" s="18">
        <v>1010</v>
      </c>
      <c r="E62" s="18">
        <v>31800</v>
      </c>
      <c r="F62" s="11">
        <v>29</v>
      </c>
      <c r="G62" s="21">
        <f t="shared" si="3"/>
        <v>0.62889165628891652</v>
      </c>
    </row>
    <row r="63" spans="1:7" ht="15.75" thickBot="1" x14ac:dyDescent="0.3">
      <c r="A63" s="14" t="s">
        <v>216</v>
      </c>
      <c r="C63" s="9">
        <f t="shared" si="2"/>
        <v>2371500</v>
      </c>
      <c r="D63" s="14">
        <v>5</v>
      </c>
      <c r="E63" s="19">
        <v>474300</v>
      </c>
      <c r="F63" s="14">
        <v>432</v>
      </c>
      <c r="G63" s="21">
        <f t="shared" si="3"/>
        <v>3.1133250311332502E-3</v>
      </c>
    </row>
    <row r="64" spans="1:7" ht="15.75" thickBot="1" x14ac:dyDescent="0.3">
      <c r="A64" s="11" t="s">
        <v>217</v>
      </c>
      <c r="C64" s="9">
        <f t="shared" si="2"/>
        <v>99062400</v>
      </c>
      <c r="D64" s="18">
        <v>1632</v>
      </c>
      <c r="E64" s="18">
        <v>60700</v>
      </c>
      <c r="F64" s="11">
        <v>55</v>
      </c>
      <c r="G64" s="21">
        <f t="shared" si="3"/>
        <v>1.016189290161893</v>
      </c>
    </row>
    <row r="65" spans="1:7" ht="15.75" thickBot="1" x14ac:dyDescent="0.3">
      <c r="A65" s="14" t="s">
        <v>218</v>
      </c>
      <c r="C65" s="9">
        <f t="shared" si="2"/>
        <v>47334200</v>
      </c>
      <c r="D65" s="14">
        <v>311</v>
      </c>
      <c r="E65" s="19">
        <v>152200</v>
      </c>
      <c r="F65" s="14">
        <v>139</v>
      </c>
      <c r="G65" s="21">
        <f t="shared" si="3"/>
        <v>0.19364881693648817</v>
      </c>
    </row>
    <row r="66" spans="1:7" ht="15.75" thickBot="1" x14ac:dyDescent="0.3">
      <c r="A66" s="11" t="s">
        <v>219</v>
      </c>
      <c r="C66" s="9">
        <f t="shared" si="2"/>
        <v>7935213</v>
      </c>
      <c r="D66" s="18">
        <v>18497</v>
      </c>
      <c r="E66" s="11">
        <v>429</v>
      </c>
      <c r="F66" s="11">
        <v>0.4</v>
      </c>
      <c r="G66" s="21">
        <f t="shared" si="3"/>
        <v>11.517434620174345</v>
      </c>
    </row>
    <row r="67" spans="1:7" ht="15.75" thickBot="1" x14ac:dyDescent="0.3">
      <c r="A67" s="14" t="s">
        <v>220</v>
      </c>
      <c r="C67" s="9">
        <f t="shared" si="2"/>
        <v>95202000</v>
      </c>
      <c r="D67" s="19">
        <v>1476</v>
      </c>
      <c r="E67" s="19">
        <v>64500</v>
      </c>
      <c r="F67" s="14">
        <v>59</v>
      </c>
      <c r="G67" s="21">
        <f t="shared" si="3"/>
        <v>0.9190535491905355</v>
      </c>
    </row>
    <row r="68" spans="1:7" ht="15.75" thickBot="1" x14ac:dyDescent="0.3">
      <c r="A68" s="11" t="s">
        <v>221</v>
      </c>
      <c r="C68" s="9">
        <f t="shared" si="2"/>
        <v>73225000</v>
      </c>
      <c r="D68" s="18">
        <v>1010</v>
      </c>
      <c r="E68" s="18">
        <v>72500</v>
      </c>
      <c r="F68" s="11">
        <v>66</v>
      </c>
      <c r="G68" s="21">
        <f t="shared" si="3"/>
        <v>0.62889165628891652</v>
      </c>
    </row>
    <row r="69" spans="1:7" ht="15.75" thickBot="1" x14ac:dyDescent="0.3">
      <c r="A69" s="14" t="s">
        <v>222</v>
      </c>
      <c r="C69" s="9">
        <f t="shared" si="2"/>
        <v>67812200</v>
      </c>
      <c r="D69" s="14">
        <v>829</v>
      </c>
      <c r="E69" s="19">
        <v>81800</v>
      </c>
      <c r="F69" s="14">
        <v>75</v>
      </c>
      <c r="G69" s="21">
        <f t="shared" si="3"/>
        <v>0.51618929016189286</v>
      </c>
    </row>
    <row r="70" spans="1:7" ht="15.75" thickBot="1" x14ac:dyDescent="0.3">
      <c r="A70" s="11" t="s">
        <v>223</v>
      </c>
      <c r="C70" s="9">
        <f t="shared" si="2"/>
        <v>80807600</v>
      </c>
      <c r="D70" s="18">
        <v>1502</v>
      </c>
      <c r="E70" s="18">
        <v>53800</v>
      </c>
      <c r="F70" s="11">
        <v>49</v>
      </c>
      <c r="G70" s="21">
        <f t="shared" si="3"/>
        <v>0.93524283935242836</v>
      </c>
    </row>
    <row r="71" spans="1:7" ht="15.75" thickBot="1" x14ac:dyDescent="0.3">
      <c r="A71" s="14" t="s">
        <v>224</v>
      </c>
      <c r="C71" s="9">
        <f t="shared" si="2"/>
        <v>82051200</v>
      </c>
      <c r="D71" s="19">
        <v>2072</v>
      </c>
      <c r="E71" s="19">
        <v>39600</v>
      </c>
      <c r="F71" s="14">
        <v>36</v>
      </c>
      <c r="G71" s="21">
        <f t="shared" si="3"/>
        <v>1.290161892901619</v>
      </c>
    </row>
    <row r="72" spans="1:7" ht="15.75" thickBot="1" x14ac:dyDescent="0.3">
      <c r="A72" s="11" t="s">
        <v>225</v>
      </c>
      <c r="C72" s="9">
        <f t="shared" si="2"/>
        <v>56939300</v>
      </c>
      <c r="D72" s="18">
        <v>1399</v>
      </c>
      <c r="E72" s="18">
        <v>40700</v>
      </c>
      <c r="F72" s="11">
        <v>37</v>
      </c>
      <c r="G72" s="21">
        <f t="shared" si="3"/>
        <v>0.87110834371108348</v>
      </c>
    </row>
    <row r="73" spans="1:7" ht="15.75" thickBot="1" x14ac:dyDescent="0.3">
      <c r="A73" s="14" t="s">
        <v>226</v>
      </c>
      <c r="C73" s="9">
        <f t="shared" si="2"/>
        <v>38760000</v>
      </c>
      <c r="D73" s="14">
        <v>570</v>
      </c>
      <c r="E73" s="19">
        <v>68000</v>
      </c>
      <c r="F73" s="14">
        <v>62</v>
      </c>
      <c r="G73" s="21">
        <f t="shared" si="3"/>
        <v>0.35491905354919051</v>
      </c>
    </row>
    <row r="74" spans="1:7" ht="15.75" thickBot="1" x14ac:dyDescent="0.3">
      <c r="A74" s="11" t="s">
        <v>227</v>
      </c>
      <c r="C74" s="9">
        <f t="shared" si="2"/>
        <v>63369600</v>
      </c>
      <c r="D74" s="11">
        <v>984</v>
      </c>
      <c r="E74" s="18">
        <v>64400</v>
      </c>
      <c r="F74" s="11">
        <v>59</v>
      </c>
      <c r="G74" s="21">
        <f t="shared" si="3"/>
        <v>0.61270236612702367</v>
      </c>
    </row>
    <row r="75" spans="1:7" ht="15.75" thickBot="1" x14ac:dyDescent="0.3">
      <c r="A75" s="14" t="s">
        <v>228</v>
      </c>
      <c r="C75" s="9">
        <f t="shared" si="2"/>
        <v>42882100</v>
      </c>
      <c r="D75" s="14">
        <v>751</v>
      </c>
      <c r="E75" s="19">
        <v>57100</v>
      </c>
      <c r="F75" s="14">
        <v>52</v>
      </c>
      <c r="G75" s="21">
        <f t="shared" si="3"/>
        <v>0.46762141967621418</v>
      </c>
    </row>
    <row r="76" spans="1:7" ht="15.75" thickBot="1" x14ac:dyDescent="0.3">
      <c r="A76" s="11" t="s">
        <v>229</v>
      </c>
      <c r="C76" s="9">
        <f t="shared" si="2"/>
        <v>38880100</v>
      </c>
      <c r="D76" s="11">
        <v>829</v>
      </c>
      <c r="E76" s="18">
        <v>46900</v>
      </c>
      <c r="F76" s="11">
        <v>43</v>
      </c>
      <c r="G76" s="21">
        <f t="shared" si="3"/>
        <v>0.51618929016189286</v>
      </c>
    </row>
    <row r="77" spans="1:7" ht="15.75" thickBot="1" x14ac:dyDescent="0.3">
      <c r="A77" s="14" t="s">
        <v>230</v>
      </c>
      <c r="C77" s="9">
        <f t="shared" si="2"/>
        <v>39114000</v>
      </c>
      <c r="D77" s="14">
        <v>492</v>
      </c>
      <c r="E77" s="19">
        <v>79500</v>
      </c>
      <c r="F77" s="14">
        <v>73</v>
      </c>
      <c r="G77" s="21">
        <f t="shared" si="3"/>
        <v>0.30635118306351183</v>
      </c>
    </row>
    <row r="78" spans="1:7" ht="15.75" thickBot="1" x14ac:dyDescent="0.3">
      <c r="A78" s="11" t="s">
        <v>231</v>
      </c>
      <c r="C78" s="9">
        <f t="shared" si="2"/>
        <v>24656400</v>
      </c>
      <c r="D78" s="11">
        <v>54</v>
      </c>
      <c r="E78" s="18">
        <v>456600</v>
      </c>
      <c r="F78" s="11">
        <v>418</v>
      </c>
      <c r="G78" s="21">
        <f t="shared" si="3"/>
        <v>3.3623910336239106E-2</v>
      </c>
    </row>
    <row r="79" spans="1:7" ht="15.75" thickBot="1" x14ac:dyDescent="0.3">
      <c r="A79" s="20" t="s">
        <v>232</v>
      </c>
      <c r="C79" s="1">
        <v>61000000</v>
      </c>
      <c r="D79" s="1">
        <v>1128</v>
      </c>
      <c r="E79" s="17">
        <v>54100</v>
      </c>
      <c r="F79" s="9">
        <v>19</v>
      </c>
      <c r="G79" s="21">
        <f t="shared" si="3"/>
        <v>0.7023661270236613</v>
      </c>
    </row>
    <row r="82" spans="1:7" s="4" customFormat="1" ht="28.5" x14ac:dyDescent="0.45">
      <c r="A82" s="23" t="s">
        <v>297</v>
      </c>
      <c r="D82" s="5"/>
    </row>
    <row r="83" spans="1:7" s="24" customFormat="1" x14ac:dyDescent="0.25">
      <c r="A83" t="s">
        <v>0</v>
      </c>
      <c r="B83" t="s">
        <v>1</v>
      </c>
      <c r="C83" s="1" t="s">
        <v>2</v>
      </c>
      <c r="D83" s="1" t="s">
        <v>3</v>
      </c>
      <c r="E83" t="s">
        <v>205</v>
      </c>
      <c r="F83" t="s">
        <v>206</v>
      </c>
      <c r="G83" s="24" t="s">
        <v>298</v>
      </c>
    </row>
    <row r="84" spans="1:7" x14ac:dyDescent="0.25">
      <c r="A84" t="s">
        <v>234</v>
      </c>
      <c r="B84" s="25">
        <v>900000</v>
      </c>
      <c r="C84" s="1">
        <v>1904532</v>
      </c>
      <c r="D84" s="1">
        <v>1171</v>
      </c>
      <c r="E84" s="1">
        <v>1627</v>
      </c>
      <c r="F84">
        <v>0.22</v>
      </c>
      <c r="G84">
        <f>SUM(D84/$D$84)</f>
        <v>1</v>
      </c>
    </row>
    <row r="85" spans="1:7" x14ac:dyDescent="0.25">
      <c r="A85" t="s">
        <v>235</v>
      </c>
      <c r="B85" s="25">
        <v>780000</v>
      </c>
      <c r="C85" s="1">
        <v>1148313</v>
      </c>
      <c r="D85" s="1">
        <v>1135</v>
      </c>
      <c r="E85" s="1">
        <v>1012</v>
      </c>
      <c r="F85">
        <v>0.14000000000000001</v>
      </c>
      <c r="G85" s="3">
        <f t="shared" ref="G85:G146" si="4">SUM(D85/$D$84)</f>
        <v>0.96925704526046119</v>
      </c>
    </row>
    <row r="86" spans="1:7" x14ac:dyDescent="0.25">
      <c r="A86" t="s">
        <v>236</v>
      </c>
      <c r="B86" s="25">
        <v>260000</v>
      </c>
      <c r="C86" s="1">
        <v>1859411</v>
      </c>
      <c r="D86" s="1">
        <v>1596</v>
      </c>
      <c r="E86" s="1">
        <v>1165</v>
      </c>
      <c r="F86">
        <v>0.16</v>
      </c>
      <c r="G86" s="3">
        <f t="shared" si="4"/>
        <v>1.362937660119556</v>
      </c>
    </row>
    <row r="87" spans="1:7" x14ac:dyDescent="0.25">
      <c r="A87" t="s">
        <v>237</v>
      </c>
      <c r="B87" s="25">
        <v>960000</v>
      </c>
      <c r="C87" s="1">
        <v>320868</v>
      </c>
      <c r="D87" s="1">
        <v>172</v>
      </c>
      <c r="E87" s="1">
        <v>1868</v>
      </c>
      <c r="F87">
        <v>0.25</v>
      </c>
      <c r="G87" s="3">
        <f t="shared" si="4"/>
        <v>0.14688300597779674</v>
      </c>
    </row>
    <row r="88" spans="1:7" x14ac:dyDescent="0.25">
      <c r="A88" t="s">
        <v>238</v>
      </c>
      <c r="B88" s="25">
        <v>260000</v>
      </c>
      <c r="C88" s="1">
        <v>1011721</v>
      </c>
      <c r="D88" s="1">
        <v>1081</v>
      </c>
      <c r="E88">
        <v>936</v>
      </c>
      <c r="F88">
        <v>0.13</v>
      </c>
      <c r="G88" s="3">
        <f t="shared" si="4"/>
        <v>0.92314261315115287</v>
      </c>
    </row>
    <row r="89" spans="1:7" x14ac:dyDescent="0.25">
      <c r="A89" t="s">
        <v>239</v>
      </c>
      <c r="B89" s="25">
        <v>160000</v>
      </c>
      <c r="C89" s="1">
        <v>1488250</v>
      </c>
      <c r="D89" s="1">
        <v>2536</v>
      </c>
      <c r="E89">
        <v>587</v>
      </c>
      <c r="F89">
        <v>0.08</v>
      </c>
      <c r="G89" s="3">
        <f t="shared" si="4"/>
        <v>2.165670367207515</v>
      </c>
    </row>
    <row r="90" spans="1:7" x14ac:dyDescent="0.25">
      <c r="A90" t="s">
        <v>240</v>
      </c>
      <c r="B90" s="25">
        <v>930000</v>
      </c>
      <c r="C90" s="1">
        <v>1288511</v>
      </c>
      <c r="D90" s="1">
        <v>1234</v>
      </c>
      <c r="E90" s="1">
        <v>1044</v>
      </c>
      <c r="F90">
        <v>0.14000000000000001</v>
      </c>
      <c r="G90" s="3">
        <f t="shared" si="4"/>
        <v>1.0538001707941931</v>
      </c>
    </row>
    <row r="91" spans="1:7" x14ac:dyDescent="0.25">
      <c r="A91" t="s">
        <v>241</v>
      </c>
      <c r="B91" s="25">
        <v>750000</v>
      </c>
      <c r="C91" s="1">
        <v>2603994</v>
      </c>
      <c r="D91" s="1">
        <v>2133</v>
      </c>
      <c r="E91" s="1">
        <v>1221</v>
      </c>
      <c r="F91">
        <v>0.17</v>
      </c>
      <c r="G91" s="3">
        <f t="shared" si="4"/>
        <v>1.8215200683176771</v>
      </c>
    </row>
    <row r="92" spans="1:7" x14ac:dyDescent="0.25">
      <c r="A92" t="s">
        <v>242</v>
      </c>
      <c r="B92" s="25">
        <v>590000</v>
      </c>
      <c r="C92" s="1">
        <v>1487009</v>
      </c>
      <c r="D92" s="1">
        <v>617</v>
      </c>
      <c r="E92" s="1">
        <v>2410</v>
      </c>
      <c r="F92">
        <v>0.33</v>
      </c>
      <c r="G92" s="3">
        <f t="shared" si="4"/>
        <v>0.52690008539709654</v>
      </c>
    </row>
    <row r="93" spans="1:7" x14ac:dyDescent="0.25">
      <c r="A93" t="s">
        <v>243</v>
      </c>
      <c r="B93" s="25">
        <v>830000</v>
      </c>
      <c r="C93" s="1">
        <v>1055423</v>
      </c>
      <c r="D93" s="1">
        <v>194</v>
      </c>
      <c r="E93" s="1">
        <v>5445</v>
      </c>
      <c r="F93">
        <v>0.74</v>
      </c>
      <c r="G93" s="3">
        <f t="shared" si="4"/>
        <v>0.16567036720751493</v>
      </c>
    </row>
    <row r="94" spans="1:7" x14ac:dyDescent="0.25">
      <c r="A94" t="s">
        <v>244</v>
      </c>
      <c r="B94" s="25">
        <v>770000</v>
      </c>
      <c r="C94" s="1">
        <v>1244665</v>
      </c>
      <c r="D94" s="1">
        <v>332</v>
      </c>
      <c r="E94" s="1">
        <v>3748</v>
      </c>
      <c r="F94">
        <v>0.51</v>
      </c>
      <c r="G94" s="3">
        <f t="shared" si="4"/>
        <v>0.28351836037574724</v>
      </c>
    </row>
    <row r="95" spans="1:7" x14ac:dyDescent="0.25">
      <c r="A95" t="s">
        <v>245</v>
      </c>
      <c r="B95" s="25">
        <v>970000</v>
      </c>
      <c r="C95" s="1">
        <v>1521894</v>
      </c>
      <c r="D95" s="1">
        <v>1114</v>
      </c>
      <c r="E95" s="1">
        <v>1366</v>
      </c>
      <c r="F95">
        <v>0.19</v>
      </c>
      <c r="G95" s="3">
        <f t="shared" si="4"/>
        <v>0.95132365499573013</v>
      </c>
    </row>
    <row r="96" spans="1:7" x14ac:dyDescent="0.25">
      <c r="A96" t="s">
        <v>246</v>
      </c>
      <c r="B96" s="25">
        <v>900000</v>
      </c>
      <c r="C96" s="1">
        <v>1235171</v>
      </c>
      <c r="D96" s="1">
        <v>1697</v>
      </c>
      <c r="E96">
        <v>728</v>
      </c>
      <c r="F96">
        <v>0.1</v>
      </c>
      <c r="G96" s="3">
        <f t="shared" si="4"/>
        <v>1.4491887275832622</v>
      </c>
    </row>
    <row r="97" spans="1:7" x14ac:dyDescent="0.25">
      <c r="A97" t="s">
        <v>247</v>
      </c>
      <c r="B97" s="25">
        <v>270000</v>
      </c>
      <c r="C97" s="1">
        <v>530341</v>
      </c>
      <c r="D97" s="1">
        <v>183</v>
      </c>
      <c r="E97" s="1">
        <v>2899</v>
      </c>
      <c r="F97">
        <v>0.4</v>
      </c>
      <c r="G97" s="3">
        <f t="shared" si="4"/>
        <v>0.15627668659265584</v>
      </c>
    </row>
    <row r="98" spans="1:7" x14ac:dyDescent="0.25">
      <c r="A98" t="s">
        <v>248</v>
      </c>
      <c r="B98" s="25">
        <v>550000</v>
      </c>
      <c r="C98" s="1">
        <v>1134310</v>
      </c>
      <c r="D98" s="1">
        <v>3437</v>
      </c>
      <c r="E98">
        <v>330</v>
      </c>
      <c r="F98">
        <v>0.05</v>
      </c>
      <c r="G98" s="3">
        <f t="shared" si="4"/>
        <v>2.9350982066609737</v>
      </c>
    </row>
    <row r="99" spans="1:7" x14ac:dyDescent="0.25">
      <c r="A99" t="s">
        <v>249</v>
      </c>
      <c r="B99" s="25">
        <v>630000</v>
      </c>
      <c r="C99" s="1">
        <v>2134725</v>
      </c>
      <c r="D99" s="1">
        <v>388</v>
      </c>
      <c r="E99" s="1">
        <v>5503</v>
      </c>
      <c r="F99">
        <v>0.75</v>
      </c>
      <c r="G99" s="3">
        <f t="shared" si="4"/>
        <v>0.33134073441502987</v>
      </c>
    </row>
    <row r="100" spans="1:7" x14ac:dyDescent="0.25">
      <c r="A100" t="s">
        <v>250</v>
      </c>
      <c r="B100" s="25">
        <v>650000</v>
      </c>
      <c r="C100" s="1">
        <v>733705</v>
      </c>
      <c r="D100" s="1">
        <v>311</v>
      </c>
      <c r="E100" s="1">
        <v>2359</v>
      </c>
      <c r="F100">
        <v>0.32</v>
      </c>
      <c r="G100" s="3">
        <f t="shared" si="4"/>
        <v>0.26558497011101623</v>
      </c>
    </row>
    <row r="101" spans="1:7" x14ac:dyDescent="0.25">
      <c r="A101" t="s">
        <v>251</v>
      </c>
      <c r="B101" s="25">
        <v>320000</v>
      </c>
      <c r="C101" s="1">
        <v>615205</v>
      </c>
      <c r="D101" s="1">
        <v>129</v>
      </c>
      <c r="E101" s="1">
        <v>4758</v>
      </c>
      <c r="F101">
        <v>0.65</v>
      </c>
      <c r="G101" s="3">
        <f t="shared" si="4"/>
        <v>0.11016225448334757</v>
      </c>
    </row>
    <row r="102" spans="1:7" x14ac:dyDescent="0.25">
      <c r="A102" t="s">
        <v>252</v>
      </c>
      <c r="B102" s="25">
        <v>810000</v>
      </c>
      <c r="C102" s="1">
        <v>3450484</v>
      </c>
      <c r="D102" s="1">
        <v>1066</v>
      </c>
      <c r="E102" s="1">
        <v>3236</v>
      </c>
      <c r="F102">
        <v>0.44</v>
      </c>
      <c r="G102" s="3">
        <f t="shared" si="4"/>
        <v>0.91033304867634501</v>
      </c>
    </row>
    <row r="103" spans="1:7" x14ac:dyDescent="0.25">
      <c r="A103" t="s">
        <v>253</v>
      </c>
      <c r="B103" s="25">
        <v>870000</v>
      </c>
      <c r="C103" s="1">
        <v>1675821</v>
      </c>
      <c r="D103" s="1">
        <v>1006</v>
      </c>
      <c r="E103" s="1">
        <v>1666</v>
      </c>
      <c r="F103">
        <v>0.23</v>
      </c>
      <c r="G103" s="3">
        <f t="shared" si="4"/>
        <v>0.85909479077711359</v>
      </c>
    </row>
    <row r="104" spans="1:7" x14ac:dyDescent="0.25">
      <c r="A104" t="s">
        <v>254</v>
      </c>
      <c r="B104" s="25">
        <v>600000</v>
      </c>
      <c r="C104" s="1">
        <v>1641829</v>
      </c>
      <c r="D104" s="1">
        <v>220</v>
      </c>
      <c r="E104" s="1">
        <v>7464</v>
      </c>
      <c r="F104">
        <v>1.02</v>
      </c>
      <c r="G104" s="3">
        <f t="shared" si="4"/>
        <v>0.18787361229718189</v>
      </c>
    </row>
    <row r="105" spans="1:7" x14ac:dyDescent="0.25">
      <c r="A105" t="s">
        <v>255</v>
      </c>
      <c r="B105" s="25">
        <v>310000</v>
      </c>
      <c r="C105" s="1">
        <v>903662</v>
      </c>
      <c r="D105" s="1">
        <v>237</v>
      </c>
      <c r="E105" s="1">
        <v>3814</v>
      </c>
      <c r="F105">
        <v>0.52</v>
      </c>
      <c r="G105" s="3">
        <f t="shared" si="4"/>
        <v>0.20239111870196413</v>
      </c>
    </row>
    <row r="106" spans="1:7" x14ac:dyDescent="0.25">
      <c r="A106" t="s">
        <v>256</v>
      </c>
      <c r="B106" s="25">
        <v>400000</v>
      </c>
      <c r="C106" s="1">
        <v>1012227</v>
      </c>
      <c r="D106" s="1">
        <v>2295</v>
      </c>
      <c r="E106">
        <v>441</v>
      </c>
      <c r="F106">
        <v>0.06</v>
      </c>
      <c r="G106" s="3">
        <f t="shared" si="4"/>
        <v>1.9598633646456021</v>
      </c>
    </row>
    <row r="107" spans="1:7" x14ac:dyDescent="0.25">
      <c r="A107" t="s">
        <v>257</v>
      </c>
      <c r="B107" s="25">
        <v>100000</v>
      </c>
      <c r="C107" s="1">
        <v>8418883</v>
      </c>
      <c r="D107" s="1">
        <v>6169</v>
      </c>
      <c r="E107" s="1">
        <v>1364</v>
      </c>
      <c r="F107">
        <v>0.19</v>
      </c>
      <c r="G107" s="3">
        <f t="shared" si="4"/>
        <v>5.2681468830059774</v>
      </c>
    </row>
    <row r="108" spans="1:7" x14ac:dyDescent="0.25">
      <c r="A108" t="s">
        <v>258</v>
      </c>
      <c r="B108" s="25">
        <v>480000</v>
      </c>
      <c r="C108" s="1">
        <v>1288866</v>
      </c>
      <c r="D108" s="1">
        <v>373</v>
      </c>
      <c r="E108" s="1">
        <v>3456</v>
      </c>
      <c r="F108">
        <v>0.47</v>
      </c>
      <c r="G108" s="3">
        <f t="shared" si="4"/>
        <v>0.31853116994022201</v>
      </c>
    </row>
    <row r="109" spans="1:7" x14ac:dyDescent="0.25">
      <c r="A109" t="s">
        <v>259</v>
      </c>
      <c r="B109" s="25">
        <v>170000</v>
      </c>
      <c r="C109" s="1">
        <v>1936371</v>
      </c>
      <c r="D109" s="1">
        <v>2273</v>
      </c>
      <c r="E109">
        <v>852</v>
      </c>
      <c r="F109">
        <v>0.12</v>
      </c>
      <c r="G109" s="3">
        <f t="shared" si="4"/>
        <v>1.9410760034158838</v>
      </c>
    </row>
    <row r="110" spans="1:7" x14ac:dyDescent="0.25">
      <c r="A110" t="s">
        <v>260</v>
      </c>
      <c r="B110" s="25">
        <v>180000</v>
      </c>
      <c r="C110" s="1">
        <v>2093452</v>
      </c>
      <c r="D110" s="1">
        <v>3572</v>
      </c>
      <c r="E110">
        <v>586</v>
      </c>
      <c r="F110">
        <v>0.08</v>
      </c>
      <c r="G110" s="3">
        <f t="shared" si="4"/>
        <v>3.0503842869342441</v>
      </c>
    </row>
    <row r="111" spans="1:7" x14ac:dyDescent="0.25">
      <c r="A111" t="s">
        <v>261</v>
      </c>
      <c r="B111" s="25">
        <v>910000</v>
      </c>
      <c r="C111" s="1">
        <v>983012</v>
      </c>
      <c r="D111" s="1">
        <v>1067</v>
      </c>
      <c r="E111">
        <v>921</v>
      </c>
      <c r="F111">
        <v>0.13</v>
      </c>
      <c r="G111" s="3">
        <f t="shared" si="4"/>
        <v>0.9111870196413322</v>
      </c>
    </row>
    <row r="112" spans="1:7" x14ac:dyDescent="0.25">
      <c r="A112" t="s">
        <v>262</v>
      </c>
      <c r="B112" s="25">
        <v>350000</v>
      </c>
      <c r="C112" s="1">
        <v>876883</v>
      </c>
      <c r="D112" s="1">
        <v>309</v>
      </c>
      <c r="E112" s="1">
        <v>2839</v>
      </c>
      <c r="F112">
        <v>0.39</v>
      </c>
      <c r="G112" s="3">
        <f t="shared" si="4"/>
        <v>0.26387702818104186</v>
      </c>
    </row>
    <row r="113" spans="1:7" x14ac:dyDescent="0.25">
      <c r="A113" t="s">
        <v>263</v>
      </c>
      <c r="B113" s="25">
        <v>170000</v>
      </c>
      <c r="C113" s="1">
        <v>1290083</v>
      </c>
      <c r="D113" s="1">
        <v>2565</v>
      </c>
      <c r="E113">
        <v>503</v>
      </c>
      <c r="F113">
        <v>7.0000000000000007E-2</v>
      </c>
      <c r="G113" s="3">
        <f t="shared" si="4"/>
        <v>2.1904355251921435</v>
      </c>
    </row>
    <row r="114" spans="1:7" x14ac:dyDescent="0.25">
      <c r="A114" t="s">
        <v>264</v>
      </c>
      <c r="B114" s="25">
        <v>570000</v>
      </c>
      <c r="C114" s="1">
        <v>1256098</v>
      </c>
      <c r="D114" s="1">
        <v>522</v>
      </c>
      <c r="E114" s="1">
        <v>2408</v>
      </c>
      <c r="F114">
        <v>0.33</v>
      </c>
      <c r="G114" s="3">
        <f t="shared" si="4"/>
        <v>0.44577284372331338</v>
      </c>
    </row>
    <row r="115" spans="1:7" x14ac:dyDescent="0.25">
      <c r="A115" t="s">
        <v>265</v>
      </c>
      <c r="B115" s="25">
        <v>910000</v>
      </c>
      <c r="C115" s="1">
        <v>1926320</v>
      </c>
      <c r="D115" s="1">
        <v>538</v>
      </c>
      <c r="E115" s="1">
        <v>3581</v>
      </c>
      <c r="F115">
        <v>0.49</v>
      </c>
      <c r="G115" s="3">
        <f t="shared" si="4"/>
        <v>0.45943637916310848</v>
      </c>
    </row>
    <row r="116" spans="1:7" x14ac:dyDescent="0.25">
      <c r="A116" t="s">
        <v>266</v>
      </c>
      <c r="B116" s="25">
        <v>580000</v>
      </c>
      <c r="C116" s="1">
        <v>540438</v>
      </c>
      <c r="D116" s="1">
        <v>142</v>
      </c>
      <c r="E116" s="1">
        <v>3808</v>
      </c>
      <c r="F116">
        <v>0.52</v>
      </c>
      <c r="G116" s="3">
        <f t="shared" si="4"/>
        <v>0.12126387702818105</v>
      </c>
    </row>
    <row r="117" spans="1:7" x14ac:dyDescent="0.25">
      <c r="A117" t="s">
        <v>267</v>
      </c>
      <c r="B117" s="25">
        <v>300000</v>
      </c>
      <c r="C117" s="1">
        <v>473366</v>
      </c>
      <c r="D117" s="1">
        <v>110</v>
      </c>
      <c r="E117" s="1">
        <v>4302</v>
      </c>
      <c r="F117">
        <v>0.59</v>
      </c>
      <c r="G117" s="3">
        <f t="shared" si="4"/>
        <v>9.3936806148590943E-2</v>
      </c>
    </row>
    <row r="118" spans="1:7" x14ac:dyDescent="0.25">
      <c r="A118" t="s">
        <v>268</v>
      </c>
      <c r="B118" s="25">
        <v>670000</v>
      </c>
      <c r="C118" s="1">
        <v>1615647</v>
      </c>
      <c r="D118" s="1">
        <v>322</v>
      </c>
      <c r="E118" s="1">
        <v>5032</v>
      </c>
      <c r="F118">
        <v>0.69</v>
      </c>
      <c r="G118" s="3">
        <f t="shared" si="4"/>
        <v>0.2749786507258753</v>
      </c>
    </row>
    <row r="119" spans="1:7" x14ac:dyDescent="0.25">
      <c r="A119" t="s">
        <v>269</v>
      </c>
      <c r="B119" s="25">
        <v>240000</v>
      </c>
      <c r="C119" s="1">
        <v>781655</v>
      </c>
      <c r="D119" s="1">
        <v>239</v>
      </c>
      <c r="E119" s="1">
        <v>3273</v>
      </c>
      <c r="F119">
        <v>0.45</v>
      </c>
      <c r="G119" s="3">
        <f t="shared" si="4"/>
        <v>0.2040990606319385</v>
      </c>
    </row>
    <row r="120" spans="1:7" x14ac:dyDescent="0.25">
      <c r="A120" t="s">
        <v>270</v>
      </c>
      <c r="B120" s="25">
        <v>330000</v>
      </c>
      <c r="C120" s="1">
        <v>743127</v>
      </c>
      <c r="D120" s="1">
        <v>225</v>
      </c>
      <c r="E120" s="1">
        <v>3309</v>
      </c>
      <c r="F120">
        <v>0.45</v>
      </c>
      <c r="G120" s="3">
        <f t="shared" si="4"/>
        <v>0.19214346712211786</v>
      </c>
    </row>
    <row r="121" spans="1:7" x14ac:dyDescent="0.25">
      <c r="A121" t="s">
        <v>271</v>
      </c>
      <c r="B121" s="25">
        <v>850000</v>
      </c>
      <c r="C121" s="1">
        <v>2088029</v>
      </c>
      <c r="D121" s="1">
        <v>1060</v>
      </c>
      <c r="E121" s="1">
        <v>1970</v>
      </c>
      <c r="F121">
        <v>0.27</v>
      </c>
      <c r="G121" s="3">
        <f t="shared" si="4"/>
        <v>0.90520922288642192</v>
      </c>
    </row>
    <row r="122" spans="1:7" x14ac:dyDescent="0.25">
      <c r="A122" t="s">
        <v>272</v>
      </c>
      <c r="B122" s="25">
        <v>420000</v>
      </c>
      <c r="C122" s="1">
        <v>1780393</v>
      </c>
      <c r="D122" s="1">
        <v>2010</v>
      </c>
      <c r="E122">
        <v>886</v>
      </c>
      <c r="F122">
        <v>0.12</v>
      </c>
      <c r="G122" s="3">
        <f t="shared" si="4"/>
        <v>1.7164816396242528</v>
      </c>
    </row>
    <row r="123" spans="1:7" x14ac:dyDescent="0.25">
      <c r="A123" t="s">
        <v>273</v>
      </c>
      <c r="B123" s="25">
        <v>460000</v>
      </c>
      <c r="C123" s="1">
        <v>3327791</v>
      </c>
      <c r="D123" s="1">
        <v>429</v>
      </c>
      <c r="E123" s="1">
        <v>7758</v>
      </c>
      <c r="F123">
        <v>1.06</v>
      </c>
      <c r="G123" s="3">
        <f t="shared" si="4"/>
        <v>0.3663535439795047</v>
      </c>
    </row>
    <row r="124" spans="1:7" x14ac:dyDescent="0.25">
      <c r="A124" t="s">
        <v>274</v>
      </c>
      <c r="B124" s="25">
        <v>430000</v>
      </c>
      <c r="C124" s="1">
        <v>1035915</v>
      </c>
      <c r="D124" s="1">
        <v>1314</v>
      </c>
      <c r="E124">
        <v>788</v>
      </c>
      <c r="F124">
        <v>0.11</v>
      </c>
      <c r="G124" s="3">
        <f t="shared" si="4"/>
        <v>1.1221178479931682</v>
      </c>
    </row>
    <row r="125" spans="1:7" x14ac:dyDescent="0.25">
      <c r="A125" t="s">
        <v>275</v>
      </c>
      <c r="B125" s="25">
        <v>590000</v>
      </c>
      <c r="C125" s="1">
        <v>603042</v>
      </c>
      <c r="D125" s="1">
        <v>370</v>
      </c>
      <c r="E125" s="1">
        <v>1631</v>
      </c>
      <c r="F125">
        <v>0.22</v>
      </c>
      <c r="G125" s="3">
        <f t="shared" si="4"/>
        <v>0.31596925704526047</v>
      </c>
    </row>
    <row r="126" spans="1:7" x14ac:dyDescent="0.25">
      <c r="A126" t="s">
        <v>276</v>
      </c>
      <c r="B126" s="25">
        <v>290000</v>
      </c>
      <c r="C126" s="1">
        <v>1463726</v>
      </c>
      <c r="D126" s="1">
        <v>1022</v>
      </c>
      <c r="E126" s="1">
        <v>1433</v>
      </c>
      <c r="F126">
        <v>0.2</v>
      </c>
      <c r="G126" s="3">
        <f t="shared" si="4"/>
        <v>0.87275832621690863</v>
      </c>
    </row>
    <row r="127" spans="1:7" x14ac:dyDescent="0.25">
      <c r="A127" t="s">
        <v>277</v>
      </c>
      <c r="B127" s="25">
        <v>620000</v>
      </c>
      <c r="C127" s="1">
        <v>903520</v>
      </c>
      <c r="D127" s="1">
        <v>286</v>
      </c>
      <c r="E127" s="1">
        <v>3163</v>
      </c>
      <c r="F127">
        <v>0.43</v>
      </c>
      <c r="G127" s="3">
        <f t="shared" si="4"/>
        <v>0.24423569598633646</v>
      </c>
    </row>
    <row r="128" spans="1:7" x14ac:dyDescent="0.25">
      <c r="A128" t="s">
        <v>278</v>
      </c>
      <c r="B128" s="25">
        <v>470000</v>
      </c>
      <c r="C128" s="1">
        <v>913705</v>
      </c>
      <c r="D128" s="1">
        <v>228</v>
      </c>
      <c r="E128" s="1">
        <v>4014</v>
      </c>
      <c r="F128">
        <v>0.55000000000000004</v>
      </c>
      <c r="G128" s="3">
        <f t="shared" si="4"/>
        <v>0.19470538001707943</v>
      </c>
    </row>
    <row r="129" spans="1:7" x14ac:dyDescent="0.25">
      <c r="A129" t="s">
        <v>279</v>
      </c>
      <c r="B129" s="25">
        <v>510000</v>
      </c>
      <c r="C129" s="1">
        <v>1549658</v>
      </c>
      <c r="D129" s="1">
        <v>396</v>
      </c>
      <c r="E129" s="1">
        <v>3909</v>
      </c>
      <c r="F129">
        <v>0.53</v>
      </c>
      <c r="G129" s="3">
        <f t="shared" si="4"/>
        <v>0.33817250213492739</v>
      </c>
    </row>
    <row r="130" spans="1:7" x14ac:dyDescent="0.25">
      <c r="A130" t="s">
        <v>280</v>
      </c>
      <c r="B130" s="25">
        <v>530000</v>
      </c>
      <c r="C130" s="1">
        <v>1319167</v>
      </c>
      <c r="D130" s="1">
        <v>574</v>
      </c>
      <c r="E130" s="1">
        <v>2299</v>
      </c>
      <c r="F130">
        <v>0.31</v>
      </c>
      <c r="G130" s="3">
        <f t="shared" si="4"/>
        <v>0.49017933390264729</v>
      </c>
    </row>
    <row r="131" spans="1:7" x14ac:dyDescent="0.25">
      <c r="A131" t="s">
        <v>281</v>
      </c>
      <c r="B131" s="25">
        <v>200000</v>
      </c>
      <c r="C131" s="1">
        <v>1488678</v>
      </c>
      <c r="D131" s="1">
        <v>655</v>
      </c>
      <c r="E131" s="1">
        <v>2273</v>
      </c>
      <c r="F131">
        <v>0.31</v>
      </c>
      <c r="G131" s="3">
        <f t="shared" si="4"/>
        <v>0.55935098206660971</v>
      </c>
    </row>
    <row r="132" spans="1:7" x14ac:dyDescent="0.25">
      <c r="A132" t="s">
        <v>282</v>
      </c>
      <c r="B132" s="25">
        <v>520000</v>
      </c>
      <c r="C132" s="1">
        <v>661937</v>
      </c>
      <c r="D132" s="1">
        <v>219</v>
      </c>
      <c r="E132" s="1">
        <v>3022</v>
      </c>
      <c r="F132">
        <v>0.41</v>
      </c>
      <c r="G132" s="3">
        <f t="shared" si="4"/>
        <v>0.1870196413321947</v>
      </c>
    </row>
    <row r="133" spans="1:7" x14ac:dyDescent="0.25">
      <c r="A133" t="s">
        <v>283</v>
      </c>
      <c r="B133" s="25">
        <v>950000</v>
      </c>
      <c r="C133" s="1">
        <v>1621783</v>
      </c>
      <c r="D133" s="1">
        <v>1071</v>
      </c>
      <c r="E133" s="1">
        <v>1515</v>
      </c>
      <c r="F133">
        <v>0.21</v>
      </c>
      <c r="G133" s="3">
        <f t="shared" si="4"/>
        <v>0.91460290350128093</v>
      </c>
    </row>
    <row r="134" spans="1:7" x14ac:dyDescent="0.25">
      <c r="A134" t="s">
        <v>284</v>
      </c>
      <c r="B134" s="25">
        <v>360000</v>
      </c>
      <c r="C134" s="1">
        <v>1255826</v>
      </c>
      <c r="D134" s="1">
        <v>248</v>
      </c>
      <c r="E134" s="1">
        <v>5066</v>
      </c>
      <c r="F134">
        <v>0.69</v>
      </c>
      <c r="G134" s="3">
        <f t="shared" si="4"/>
        <v>0.21178479931682323</v>
      </c>
    </row>
    <row r="135" spans="1:7" x14ac:dyDescent="0.25">
      <c r="A135" t="s">
        <v>285</v>
      </c>
      <c r="B135" s="25">
        <v>840000</v>
      </c>
      <c r="C135" s="1">
        <v>1251400</v>
      </c>
      <c r="D135" s="1">
        <v>393</v>
      </c>
      <c r="E135" s="1">
        <v>3186</v>
      </c>
      <c r="F135">
        <v>0.43</v>
      </c>
      <c r="G135" s="3">
        <f t="shared" si="4"/>
        <v>0.33561058923996584</v>
      </c>
    </row>
    <row r="136" spans="1:7" x14ac:dyDescent="0.25">
      <c r="A136" t="s">
        <v>286</v>
      </c>
      <c r="B136" s="25">
        <v>410000</v>
      </c>
      <c r="C136" s="1">
        <v>1860447</v>
      </c>
      <c r="D136" s="1">
        <v>2066</v>
      </c>
      <c r="E136">
        <v>901</v>
      </c>
      <c r="F136">
        <v>0.12</v>
      </c>
      <c r="G136" s="3">
        <f t="shared" si="4"/>
        <v>1.7643040136635355</v>
      </c>
    </row>
    <row r="137" spans="1:7" x14ac:dyDescent="0.25">
      <c r="A137" t="s">
        <v>287</v>
      </c>
      <c r="B137" s="25">
        <v>240000</v>
      </c>
      <c r="C137" s="1">
        <v>1391118</v>
      </c>
      <c r="D137" s="1">
        <v>1041</v>
      </c>
      <c r="E137" s="1">
        <v>1337</v>
      </c>
      <c r="F137">
        <v>0.18</v>
      </c>
      <c r="G137" s="3">
        <f t="shared" si="4"/>
        <v>0.88898377455166522</v>
      </c>
    </row>
    <row r="138" spans="1:7" x14ac:dyDescent="0.25">
      <c r="A138" t="s">
        <v>288</v>
      </c>
      <c r="B138" s="25">
        <v>440000</v>
      </c>
      <c r="C138" s="1">
        <v>3673173</v>
      </c>
      <c r="D138" s="1">
        <v>801</v>
      </c>
      <c r="E138" s="1">
        <v>4586</v>
      </c>
      <c r="F138">
        <v>0.63</v>
      </c>
      <c r="G138" s="3">
        <f t="shared" si="4"/>
        <v>0.68403074295473953</v>
      </c>
    </row>
    <row r="139" spans="1:7" x14ac:dyDescent="0.25">
      <c r="A139" t="s">
        <v>289</v>
      </c>
      <c r="B139" s="25">
        <v>530000</v>
      </c>
      <c r="C139" s="1">
        <v>1260998</v>
      </c>
      <c r="D139" s="1">
        <v>366</v>
      </c>
      <c r="E139" s="1">
        <v>3447</v>
      </c>
      <c r="F139">
        <v>0.47</v>
      </c>
      <c r="G139" s="3">
        <f t="shared" si="4"/>
        <v>0.31255337318531168</v>
      </c>
    </row>
    <row r="140" spans="1:7" x14ac:dyDescent="0.25">
      <c r="A140" t="s">
        <v>290</v>
      </c>
      <c r="B140" s="25">
        <v>860000</v>
      </c>
      <c r="C140" s="1">
        <v>1786403</v>
      </c>
      <c r="D140" s="1">
        <v>1280</v>
      </c>
      <c r="E140" s="1">
        <v>1396</v>
      </c>
      <c r="F140">
        <v>0.19</v>
      </c>
      <c r="G140" s="3">
        <f t="shared" si="4"/>
        <v>1.0930828351836037</v>
      </c>
    </row>
    <row r="141" spans="1:7" x14ac:dyDescent="0.25">
      <c r="A141" t="s">
        <v>291</v>
      </c>
      <c r="B141" s="25">
        <v>700000</v>
      </c>
      <c r="C141" s="1">
        <v>9166800</v>
      </c>
      <c r="D141" s="1">
        <v>12720</v>
      </c>
      <c r="E141">
        <v>721</v>
      </c>
      <c r="F141">
        <v>0.1</v>
      </c>
      <c r="G141" s="3">
        <f t="shared" si="4"/>
        <v>10.862510674637063</v>
      </c>
    </row>
    <row r="142" spans="1:7" x14ac:dyDescent="0.25">
      <c r="A142" t="s">
        <v>292</v>
      </c>
      <c r="B142" s="25">
        <v>940000</v>
      </c>
      <c r="C142" s="1">
        <v>1012970</v>
      </c>
      <c r="D142" s="1">
        <v>1121</v>
      </c>
      <c r="E142">
        <v>904</v>
      </c>
      <c r="F142">
        <v>0.12</v>
      </c>
      <c r="G142" s="3">
        <f t="shared" si="4"/>
        <v>0.95730145175064052</v>
      </c>
    </row>
    <row r="143" spans="1:7" x14ac:dyDescent="0.25">
      <c r="A143" t="s">
        <v>293</v>
      </c>
      <c r="B143" s="25">
        <v>220000</v>
      </c>
      <c r="C143" s="1">
        <v>803915</v>
      </c>
      <c r="D143" s="1">
        <v>232</v>
      </c>
      <c r="E143" s="1">
        <v>3461</v>
      </c>
      <c r="F143">
        <v>0.47</v>
      </c>
      <c r="G143" s="3">
        <f t="shared" si="4"/>
        <v>0.19812126387702819</v>
      </c>
    </row>
    <row r="144" spans="1:7" x14ac:dyDescent="0.25">
      <c r="A144" t="s">
        <v>294</v>
      </c>
      <c r="B144" s="25">
        <v>890000</v>
      </c>
      <c r="C144" s="1">
        <v>1022791</v>
      </c>
      <c r="D144" s="1">
        <v>1365</v>
      </c>
      <c r="E144">
        <v>749</v>
      </c>
      <c r="F144">
        <v>0.1</v>
      </c>
      <c r="G144" s="3">
        <f t="shared" si="4"/>
        <v>1.165670367207515</v>
      </c>
    </row>
    <row r="145" spans="1:7" x14ac:dyDescent="0.25">
      <c r="A145" t="s">
        <v>295</v>
      </c>
      <c r="B145" s="25">
        <v>280000</v>
      </c>
      <c r="C145" s="1">
        <v>1151154</v>
      </c>
      <c r="D145" s="1">
        <v>1411</v>
      </c>
      <c r="E145">
        <v>816</v>
      </c>
      <c r="F145">
        <v>0.11</v>
      </c>
      <c r="G145" s="3">
        <f t="shared" si="4"/>
        <v>1.2049530315969257</v>
      </c>
    </row>
    <row r="146" spans="1:7" x14ac:dyDescent="0.25">
      <c r="A146" t="s">
        <v>296</v>
      </c>
      <c r="B146" s="25">
        <v>320000</v>
      </c>
      <c r="C146" s="1">
        <v>900804</v>
      </c>
      <c r="D146" s="1">
        <v>258</v>
      </c>
      <c r="E146" s="1">
        <v>3489</v>
      </c>
      <c r="F146">
        <v>0.48</v>
      </c>
      <c r="G146" s="3">
        <f t="shared" si="4"/>
        <v>0.22032450896669514</v>
      </c>
    </row>
    <row r="149" spans="1:7" s="4" customFormat="1" ht="26.25" x14ac:dyDescent="0.4">
      <c r="A149" s="26" t="s">
        <v>336</v>
      </c>
      <c r="D149" s="5"/>
    </row>
    <row r="150" spans="1:7" ht="15.75" thickBot="1" x14ac:dyDescent="0.3">
      <c r="A150" t="s">
        <v>0</v>
      </c>
      <c r="B150" t="s">
        <v>1</v>
      </c>
      <c r="C150" s="1" t="s">
        <v>2</v>
      </c>
      <c r="D150" s="1" t="s">
        <v>3</v>
      </c>
      <c r="E150" t="s">
        <v>205</v>
      </c>
      <c r="F150" t="s">
        <v>206</v>
      </c>
      <c r="G150" t="s">
        <v>929</v>
      </c>
    </row>
    <row r="151" spans="1:7" ht="15.75" thickBot="1" x14ac:dyDescent="0.3">
      <c r="A151" s="8" t="s">
        <v>299</v>
      </c>
      <c r="B151" s="10">
        <v>23000</v>
      </c>
      <c r="C151" s="9">
        <v>5460000</v>
      </c>
      <c r="D151" s="10">
        <v>316</v>
      </c>
      <c r="E151" s="9">
        <v>17280</v>
      </c>
      <c r="F151" s="10">
        <v>6.12</v>
      </c>
      <c r="G151">
        <f>SUM(D151/$D$151)</f>
        <v>1</v>
      </c>
    </row>
    <row r="152" spans="1:7" ht="15.75" thickBot="1" x14ac:dyDescent="0.3">
      <c r="A152" s="11" t="s">
        <v>300</v>
      </c>
      <c r="B152" s="13">
        <v>20100</v>
      </c>
      <c r="C152" s="12">
        <v>14700000</v>
      </c>
      <c r="D152" s="13">
        <v>646</v>
      </c>
      <c r="E152" s="12">
        <v>22760</v>
      </c>
      <c r="F152" s="13">
        <v>8.06</v>
      </c>
      <c r="G152" s="3">
        <f t="shared" ref="G152:G187" si="5">SUM(D152/$D$151)</f>
        <v>2.0443037974683542</v>
      </c>
    </row>
    <row r="153" spans="1:7" ht="15.75" thickBot="1" x14ac:dyDescent="0.3">
      <c r="A153" s="14" t="s">
        <v>301</v>
      </c>
      <c r="B153" s="16">
        <v>25100</v>
      </c>
      <c r="C153" s="15">
        <v>5640000</v>
      </c>
      <c r="D153" s="16">
        <v>474</v>
      </c>
      <c r="E153" s="15">
        <v>11900</v>
      </c>
      <c r="F153" s="16">
        <v>4.21</v>
      </c>
      <c r="G153" s="3">
        <f t="shared" si="5"/>
        <v>1.5</v>
      </c>
    </row>
    <row r="154" spans="1:7" ht="15.75" thickBot="1" x14ac:dyDescent="0.3">
      <c r="A154" s="11" t="s">
        <v>302</v>
      </c>
      <c r="B154" s="13">
        <v>28200</v>
      </c>
      <c r="C154" s="12">
        <v>6700000</v>
      </c>
      <c r="D154" s="13">
        <v>228</v>
      </c>
      <c r="E154" s="12">
        <v>29410</v>
      </c>
      <c r="F154" s="13">
        <v>10.41</v>
      </c>
      <c r="G154" s="3">
        <f t="shared" si="5"/>
        <v>0.72151898734177211</v>
      </c>
    </row>
    <row r="155" spans="1:7" ht="15.75" thickBot="1" x14ac:dyDescent="0.3">
      <c r="A155" s="14" t="s">
        <v>303</v>
      </c>
      <c r="B155" s="16">
        <v>36100</v>
      </c>
      <c r="C155" s="15">
        <v>3650000</v>
      </c>
      <c r="D155" s="16">
        <v>179</v>
      </c>
      <c r="E155" s="15">
        <v>20390</v>
      </c>
      <c r="F155" s="16">
        <v>7.22</v>
      </c>
      <c r="G155" s="3">
        <f t="shared" si="5"/>
        <v>0.56645569620253167</v>
      </c>
    </row>
    <row r="156" spans="1:7" ht="15.75" thickBot="1" x14ac:dyDescent="0.3">
      <c r="A156" s="11" t="s">
        <v>304</v>
      </c>
      <c r="B156" s="13">
        <v>30100</v>
      </c>
      <c r="C156" s="12">
        <v>8520000</v>
      </c>
      <c r="D156" s="13">
        <v>307</v>
      </c>
      <c r="E156" s="12">
        <v>27780</v>
      </c>
      <c r="F156" s="13">
        <v>9.83</v>
      </c>
      <c r="G156" s="3">
        <f t="shared" si="5"/>
        <v>0.97151898734177211</v>
      </c>
    </row>
    <row r="157" spans="1:7" ht="15.75" thickBot="1" x14ac:dyDescent="0.3">
      <c r="A157" s="14" t="s">
        <v>305</v>
      </c>
      <c r="B157" s="16">
        <v>38100</v>
      </c>
      <c r="C157" s="15">
        <v>2010000</v>
      </c>
      <c r="D157" s="16">
        <v>372</v>
      </c>
      <c r="E157" s="15">
        <v>5410</v>
      </c>
      <c r="F157" s="16">
        <v>1.92</v>
      </c>
      <c r="G157" s="3">
        <f t="shared" si="5"/>
        <v>1.1772151898734178</v>
      </c>
    </row>
    <row r="158" spans="1:7" ht="15.75" thickBot="1" x14ac:dyDescent="0.3">
      <c r="A158" s="11" t="s">
        <v>306</v>
      </c>
      <c r="B158" s="13">
        <v>35100</v>
      </c>
      <c r="C158" s="12">
        <v>9010000</v>
      </c>
      <c r="D158" s="13">
        <v>766</v>
      </c>
      <c r="E158" s="12">
        <v>11770</v>
      </c>
      <c r="F158" s="13">
        <v>4.17</v>
      </c>
      <c r="G158" s="3">
        <f t="shared" si="5"/>
        <v>2.4240506329113924</v>
      </c>
    </row>
    <row r="159" spans="1:7" ht="15.75" thickBot="1" x14ac:dyDescent="0.3">
      <c r="A159" s="14" t="s">
        <v>307</v>
      </c>
      <c r="B159" s="16">
        <v>33100</v>
      </c>
      <c r="C159" s="15">
        <v>1560000</v>
      </c>
      <c r="D159" s="16">
        <v>252</v>
      </c>
      <c r="E159" s="15">
        <v>6180</v>
      </c>
      <c r="F159" s="16">
        <v>2.19</v>
      </c>
      <c r="G159" s="3">
        <f t="shared" si="5"/>
        <v>0.79746835443037978</v>
      </c>
    </row>
    <row r="160" spans="1:7" ht="15.75" thickBot="1" x14ac:dyDescent="0.3">
      <c r="A160" s="11" t="s">
        <v>308</v>
      </c>
      <c r="B160" s="13">
        <v>29100</v>
      </c>
      <c r="C160" s="12">
        <v>2120000</v>
      </c>
      <c r="D160" s="13">
        <v>280</v>
      </c>
      <c r="E160" s="12">
        <v>7570</v>
      </c>
      <c r="F160" s="13">
        <v>2.68</v>
      </c>
      <c r="G160" s="3">
        <f t="shared" si="5"/>
        <v>0.88607594936708856</v>
      </c>
    </row>
    <row r="161" spans="1:7" ht="15.75" thickBot="1" x14ac:dyDescent="0.3">
      <c r="A161" s="14" t="s">
        <v>309</v>
      </c>
      <c r="B161" s="16">
        <v>10100</v>
      </c>
      <c r="C161" s="15">
        <v>10560000</v>
      </c>
      <c r="D161" s="15">
        <v>15730</v>
      </c>
      <c r="E161" s="16">
        <v>672</v>
      </c>
      <c r="F161" s="16">
        <v>0.24</v>
      </c>
      <c r="G161" s="3">
        <f t="shared" si="5"/>
        <v>49.778481012658226</v>
      </c>
    </row>
    <row r="162" spans="1:7" ht="15.75" thickBot="1" x14ac:dyDescent="0.3">
      <c r="A162" s="11" t="s">
        <v>310</v>
      </c>
      <c r="B162" s="13">
        <v>40100</v>
      </c>
      <c r="C162" s="12">
        <v>48600000</v>
      </c>
      <c r="D162" s="12">
        <v>3339</v>
      </c>
      <c r="E162" s="12">
        <v>14550</v>
      </c>
      <c r="F162" s="13">
        <v>5.15</v>
      </c>
      <c r="G162" s="3">
        <f t="shared" si="5"/>
        <v>10.566455696202532</v>
      </c>
    </row>
    <row r="163" spans="1:7" ht="15.75" thickBot="1" x14ac:dyDescent="0.3">
      <c r="A163" s="14" t="s">
        <v>311</v>
      </c>
      <c r="B163" s="16">
        <v>50100</v>
      </c>
      <c r="C163" s="15">
        <v>37000000</v>
      </c>
      <c r="D163" s="15">
        <v>2740</v>
      </c>
      <c r="E163" s="15">
        <v>13500</v>
      </c>
      <c r="F163" s="16">
        <v>4.78</v>
      </c>
      <c r="G163" s="3">
        <f t="shared" si="5"/>
        <v>8.6708860759493671</v>
      </c>
    </row>
    <row r="164" spans="1:7" ht="15.75" thickBot="1" x14ac:dyDescent="0.3">
      <c r="A164" s="11" t="s">
        <v>312</v>
      </c>
      <c r="B164" s="13">
        <v>55200</v>
      </c>
      <c r="C164" s="12">
        <v>4010000</v>
      </c>
      <c r="D164" s="12">
        <v>2213</v>
      </c>
      <c r="E164" s="12">
        <v>1810</v>
      </c>
      <c r="F164" s="13">
        <v>0.64</v>
      </c>
      <c r="G164" s="3">
        <f t="shared" si="5"/>
        <v>7.0031645569620249</v>
      </c>
    </row>
    <row r="165" spans="1:7" ht="15.75" thickBot="1" x14ac:dyDescent="0.3">
      <c r="A165" s="14" t="s">
        <v>313</v>
      </c>
      <c r="B165" s="16">
        <v>60100</v>
      </c>
      <c r="C165" s="15">
        <v>40670000</v>
      </c>
      <c r="D165" s="15">
        <v>2112</v>
      </c>
      <c r="E165" s="15">
        <v>19270</v>
      </c>
      <c r="F165" s="16">
        <v>6.82</v>
      </c>
      <c r="G165" s="3">
        <f t="shared" si="5"/>
        <v>6.6835443037974684</v>
      </c>
    </row>
    <row r="166" spans="1:7" ht="15.75" thickBot="1" x14ac:dyDescent="0.3">
      <c r="A166" s="11" t="s">
        <v>314</v>
      </c>
      <c r="B166" s="13">
        <v>42100</v>
      </c>
      <c r="C166" s="12">
        <v>12000000</v>
      </c>
      <c r="D166" s="12">
        <v>2164</v>
      </c>
      <c r="E166" s="12">
        <v>5540</v>
      </c>
      <c r="F166" s="13">
        <v>1.96</v>
      </c>
      <c r="G166" s="3">
        <f t="shared" si="5"/>
        <v>6.8481012658227849</v>
      </c>
    </row>
    <row r="167" spans="1:7" ht="15.75" thickBot="1" x14ac:dyDescent="0.3">
      <c r="A167" s="14" t="s">
        <v>315</v>
      </c>
      <c r="B167" s="16">
        <v>80300</v>
      </c>
      <c r="C167" s="15">
        <v>4290000</v>
      </c>
      <c r="D167" s="15">
        <v>2003</v>
      </c>
      <c r="E167" s="15">
        <v>2140</v>
      </c>
      <c r="F167" s="16">
        <v>0.76</v>
      </c>
      <c r="G167" s="3">
        <f t="shared" si="5"/>
        <v>6.3386075949367084</v>
      </c>
    </row>
    <row r="168" spans="1:7" ht="30.75" thickBot="1" x14ac:dyDescent="0.3">
      <c r="A168" s="11" t="s">
        <v>316</v>
      </c>
      <c r="B168" s="13">
        <v>83100</v>
      </c>
      <c r="C168" s="12">
        <v>5320000</v>
      </c>
      <c r="D168" s="13">
        <v>388</v>
      </c>
      <c r="E168" s="12">
        <v>13710</v>
      </c>
      <c r="F168" s="13">
        <v>4.8499999999999996</v>
      </c>
      <c r="G168" s="3">
        <f t="shared" si="5"/>
        <v>1.2278481012658229</v>
      </c>
    </row>
    <row r="169" spans="1:7" ht="30.75" thickBot="1" x14ac:dyDescent="0.3">
      <c r="A169" s="14" t="s">
        <v>317</v>
      </c>
      <c r="B169" s="16">
        <v>85100</v>
      </c>
      <c r="C169" s="15">
        <v>5440000</v>
      </c>
      <c r="D169" s="16">
        <v>274</v>
      </c>
      <c r="E169" s="15">
        <v>19850</v>
      </c>
      <c r="F169" s="16">
        <v>7.03</v>
      </c>
      <c r="G169" s="3">
        <f t="shared" si="5"/>
        <v>0.86708860759493667</v>
      </c>
    </row>
    <row r="170" spans="1:7" ht="15.75" thickBot="1" x14ac:dyDescent="0.3">
      <c r="A170" s="11" t="s">
        <v>318</v>
      </c>
      <c r="B170" s="13">
        <v>78100</v>
      </c>
      <c r="C170" s="12">
        <v>5650000</v>
      </c>
      <c r="D170" s="13">
        <v>84</v>
      </c>
      <c r="E170" s="12">
        <v>67310</v>
      </c>
      <c r="F170" s="13">
        <v>23.83</v>
      </c>
      <c r="G170" s="3">
        <f t="shared" si="5"/>
        <v>0.26582278481012656</v>
      </c>
    </row>
    <row r="171" spans="1:7" ht="30.75" thickBot="1" x14ac:dyDescent="0.3">
      <c r="A171" s="14" t="s">
        <v>319</v>
      </c>
      <c r="B171" s="16">
        <v>73100</v>
      </c>
      <c r="C171" s="15">
        <v>2720000</v>
      </c>
      <c r="D171" s="16">
        <v>42</v>
      </c>
      <c r="E171" s="15">
        <v>64380</v>
      </c>
      <c r="F171" s="16">
        <v>22.78</v>
      </c>
      <c r="G171" s="3">
        <f t="shared" si="5"/>
        <v>0.13291139240506328</v>
      </c>
    </row>
    <row r="172" spans="1:7" ht="15.75" thickBot="1" x14ac:dyDescent="0.3">
      <c r="A172" s="11" t="s">
        <v>320</v>
      </c>
      <c r="B172" s="13">
        <v>70100</v>
      </c>
      <c r="C172" s="12">
        <v>4130000</v>
      </c>
      <c r="D172" s="13">
        <v>218</v>
      </c>
      <c r="E172" s="12">
        <v>18970</v>
      </c>
      <c r="F172" s="13">
        <v>6.72</v>
      </c>
      <c r="G172" s="3">
        <f t="shared" si="5"/>
        <v>0.689873417721519</v>
      </c>
    </row>
    <row r="173" spans="1:7" ht="15.75" thickBot="1" x14ac:dyDescent="0.3">
      <c r="A173" s="14" t="s">
        <v>321</v>
      </c>
      <c r="B173" s="16">
        <v>76100</v>
      </c>
      <c r="C173" s="15">
        <v>3770000</v>
      </c>
      <c r="D173" s="16">
        <v>36</v>
      </c>
      <c r="E173" s="15">
        <v>105800</v>
      </c>
      <c r="F173" s="16">
        <v>37.450000000000003</v>
      </c>
      <c r="G173" s="3">
        <f t="shared" si="5"/>
        <v>0.11392405063291139</v>
      </c>
    </row>
    <row r="174" spans="1:7" ht="15.75" thickBot="1" x14ac:dyDescent="0.3">
      <c r="A174" s="11" t="s">
        <v>322</v>
      </c>
      <c r="B174" s="13">
        <v>77400</v>
      </c>
      <c r="C174" s="12">
        <v>710000</v>
      </c>
      <c r="D174" s="13">
        <v>20</v>
      </c>
      <c r="E174" s="12">
        <v>35570</v>
      </c>
      <c r="F174" s="13">
        <v>12.59</v>
      </c>
      <c r="G174" s="3">
        <f t="shared" si="5"/>
        <v>6.3291139240506333E-2</v>
      </c>
    </row>
    <row r="175" spans="1:7" ht="15.75" thickBot="1" x14ac:dyDescent="0.3">
      <c r="A175" s="14" t="s">
        <v>323</v>
      </c>
      <c r="B175" s="16">
        <v>91300</v>
      </c>
      <c r="C175" s="15">
        <v>1510000</v>
      </c>
      <c r="D175" s="16">
        <v>156</v>
      </c>
      <c r="E175" s="15">
        <v>9690</v>
      </c>
      <c r="F175" s="16">
        <v>3.43</v>
      </c>
      <c r="G175" s="3">
        <f t="shared" si="5"/>
        <v>0.49367088607594939</v>
      </c>
    </row>
    <row r="176" spans="1:7" ht="15.75" thickBot="1" x14ac:dyDescent="0.3">
      <c r="A176" s="11" t="s">
        <v>324</v>
      </c>
      <c r="B176" s="13">
        <v>90100</v>
      </c>
      <c r="C176" s="12">
        <v>9460000</v>
      </c>
      <c r="D176" s="13">
        <v>574</v>
      </c>
      <c r="E176" s="12">
        <v>16490</v>
      </c>
      <c r="F176" s="13">
        <v>5.84</v>
      </c>
      <c r="G176" s="3">
        <f t="shared" si="5"/>
        <v>1.8164556962025316</v>
      </c>
    </row>
    <row r="177" spans="1:7" ht="30.75" thickBot="1" x14ac:dyDescent="0.3">
      <c r="A177" s="14" t="s">
        <v>325</v>
      </c>
      <c r="B177" s="16">
        <v>93200</v>
      </c>
      <c r="C177" s="15">
        <v>2780000</v>
      </c>
      <c r="D177" s="16">
        <v>155</v>
      </c>
      <c r="E177" s="15">
        <v>17900</v>
      </c>
      <c r="F177" s="16">
        <v>6.34</v>
      </c>
      <c r="G177" s="3">
        <f t="shared" si="5"/>
        <v>0.49050632911392406</v>
      </c>
    </row>
    <row r="178" spans="1:7" ht="15.75" thickBot="1" x14ac:dyDescent="0.3">
      <c r="A178" s="11" t="s">
        <v>326</v>
      </c>
      <c r="B178" s="13">
        <v>94100</v>
      </c>
      <c r="C178" s="12">
        <v>3070000</v>
      </c>
      <c r="D178" s="13">
        <v>70</v>
      </c>
      <c r="E178" s="12">
        <v>43590</v>
      </c>
      <c r="F178" s="13">
        <v>15.43</v>
      </c>
      <c r="G178" s="3">
        <f t="shared" si="5"/>
        <v>0.22151898734177214</v>
      </c>
    </row>
    <row r="179" spans="1:7" ht="15.75" thickBot="1" x14ac:dyDescent="0.3">
      <c r="A179" s="14" t="s">
        <v>327</v>
      </c>
      <c r="B179" s="16">
        <v>96100</v>
      </c>
      <c r="C179" s="15">
        <v>1250000</v>
      </c>
      <c r="D179" s="16">
        <v>355</v>
      </c>
      <c r="E179" s="15">
        <v>3520</v>
      </c>
      <c r="F179" s="16">
        <v>1.25</v>
      </c>
      <c r="G179" s="3">
        <f t="shared" si="5"/>
        <v>1.1234177215189873</v>
      </c>
    </row>
    <row r="180" spans="1:7" ht="15.75" thickBot="1" x14ac:dyDescent="0.3">
      <c r="A180" s="11" t="s">
        <v>328</v>
      </c>
      <c r="B180" s="13">
        <v>95100</v>
      </c>
      <c r="C180" s="12">
        <v>2670000</v>
      </c>
      <c r="D180" s="13">
        <v>445</v>
      </c>
      <c r="E180" s="12">
        <v>6000</v>
      </c>
      <c r="F180" s="13">
        <v>2.12</v>
      </c>
      <c r="G180" s="3">
        <f t="shared" si="5"/>
        <v>1.4082278481012658</v>
      </c>
    </row>
    <row r="181" spans="1:7" ht="15.75" thickBot="1" x14ac:dyDescent="0.3">
      <c r="A181" s="14" t="s">
        <v>329</v>
      </c>
      <c r="B181" s="16">
        <v>97200</v>
      </c>
      <c r="C181" s="15">
        <v>1870000</v>
      </c>
      <c r="D181" s="16">
        <v>46</v>
      </c>
      <c r="E181" s="15">
        <v>40100</v>
      </c>
      <c r="F181" s="16">
        <v>14.19</v>
      </c>
      <c r="G181" s="3">
        <f t="shared" si="5"/>
        <v>0.14556962025316456</v>
      </c>
    </row>
    <row r="182" spans="1:7" ht="15.75" thickBot="1" x14ac:dyDescent="0.3">
      <c r="A182" s="11" t="s">
        <v>330</v>
      </c>
      <c r="B182" s="13">
        <v>97700</v>
      </c>
      <c r="C182" s="12">
        <v>1350000</v>
      </c>
      <c r="D182" s="13">
        <v>54</v>
      </c>
      <c r="E182" s="12">
        <v>25000</v>
      </c>
      <c r="F182" s="13">
        <v>8.85</v>
      </c>
      <c r="G182" s="3">
        <f t="shared" si="5"/>
        <v>0.17088607594936708</v>
      </c>
    </row>
    <row r="183" spans="1:7" ht="15.75" thickBot="1" x14ac:dyDescent="0.3">
      <c r="A183" s="14" t="s">
        <v>331</v>
      </c>
      <c r="B183" s="16">
        <v>98300</v>
      </c>
      <c r="C183" s="15">
        <v>1050000</v>
      </c>
      <c r="D183" s="16">
        <v>28</v>
      </c>
      <c r="E183" s="15">
        <v>37270</v>
      </c>
      <c r="F183" s="16">
        <v>13.19</v>
      </c>
      <c r="G183" s="3">
        <f t="shared" si="5"/>
        <v>8.8607594936708861E-2</v>
      </c>
    </row>
    <row r="184" spans="1:7" ht="15.75" thickBot="1" x14ac:dyDescent="0.3">
      <c r="A184" s="11" t="s">
        <v>332</v>
      </c>
      <c r="B184" s="13">
        <v>99900</v>
      </c>
      <c r="C184" s="12">
        <v>1200000</v>
      </c>
      <c r="D184" s="13">
        <v>26</v>
      </c>
      <c r="E184" s="12">
        <v>45800</v>
      </c>
      <c r="F184" s="13">
        <v>16.21</v>
      </c>
      <c r="G184" s="3">
        <f t="shared" si="5"/>
        <v>8.2278481012658222E-2</v>
      </c>
    </row>
    <row r="185" spans="1:7" ht="15.75" thickBot="1" x14ac:dyDescent="0.3">
      <c r="A185" s="14" t="s">
        <v>333</v>
      </c>
      <c r="B185" s="16">
        <v>99600</v>
      </c>
      <c r="C185" s="15">
        <v>630000</v>
      </c>
      <c r="D185" s="16">
        <v>11</v>
      </c>
      <c r="E185" s="15">
        <v>56130</v>
      </c>
      <c r="F185" s="16">
        <v>19.87</v>
      </c>
      <c r="G185" s="3">
        <f t="shared" si="5"/>
        <v>3.4810126582278479E-2</v>
      </c>
    </row>
    <row r="186" spans="1:7" ht="15.75" thickBot="1" x14ac:dyDescent="0.3">
      <c r="A186" s="11" t="s">
        <v>334</v>
      </c>
      <c r="B186" s="13">
        <v>99500</v>
      </c>
      <c r="C186" s="12">
        <v>1100000</v>
      </c>
      <c r="D186" s="13">
        <v>22</v>
      </c>
      <c r="E186" s="12">
        <v>50000</v>
      </c>
      <c r="F186" s="13">
        <v>17.71</v>
      </c>
      <c r="G186" s="3">
        <f t="shared" si="5"/>
        <v>6.9620253164556958E-2</v>
      </c>
    </row>
    <row r="187" spans="1:7" ht="15.75" thickBot="1" x14ac:dyDescent="0.3">
      <c r="A187" s="14" t="s">
        <v>335</v>
      </c>
      <c r="B187" s="16">
        <v>98400</v>
      </c>
      <c r="C187" s="15">
        <v>580000</v>
      </c>
      <c r="D187" s="16">
        <v>13</v>
      </c>
      <c r="E187" s="15">
        <v>44000</v>
      </c>
      <c r="F187" s="16">
        <v>15.57</v>
      </c>
      <c r="G187" s="3">
        <f t="shared" si="5"/>
        <v>4.1139240506329111E-2</v>
      </c>
    </row>
    <row r="189" spans="1:7" s="4" customFormat="1" ht="31.5" x14ac:dyDescent="0.5">
      <c r="A189" s="31" t="s">
        <v>344</v>
      </c>
      <c r="D189" s="5"/>
    </row>
    <row r="190" spans="1:7" ht="15.75" thickBot="1" x14ac:dyDescent="0.3">
      <c r="A190" t="s">
        <v>0</v>
      </c>
      <c r="B190" t="s">
        <v>1</v>
      </c>
      <c r="C190" s="1" t="s">
        <v>2</v>
      </c>
      <c r="D190" s="1" t="s">
        <v>3</v>
      </c>
      <c r="E190" t="s">
        <v>205</v>
      </c>
      <c r="F190" t="s">
        <v>206</v>
      </c>
      <c r="G190" t="s">
        <v>345</v>
      </c>
    </row>
    <row r="191" spans="1:7" ht="15.75" thickBot="1" x14ac:dyDescent="0.3">
      <c r="A191" s="8" t="s">
        <v>337</v>
      </c>
      <c r="B191" s="10">
        <v>10000</v>
      </c>
      <c r="C191" s="9">
        <v>10722815</v>
      </c>
      <c r="D191" s="9">
        <v>13776</v>
      </c>
      <c r="E191" s="10">
        <v>778</v>
      </c>
      <c r="F191" s="10">
        <v>0.28000000000000003</v>
      </c>
      <c r="G191" s="3">
        <f>SUM(D191/$D$191)</f>
        <v>1</v>
      </c>
    </row>
    <row r="192" spans="1:7" ht="15.75" thickBot="1" x14ac:dyDescent="0.3">
      <c r="A192" s="11" t="s">
        <v>338</v>
      </c>
      <c r="B192" s="13">
        <v>12000</v>
      </c>
      <c r="C192" s="12">
        <v>1525085</v>
      </c>
      <c r="D192" s="12">
        <v>1267</v>
      </c>
      <c r="E192" s="12">
        <v>1204</v>
      </c>
      <c r="F192" s="13">
        <v>0.43</v>
      </c>
      <c r="G192" s="3">
        <f t="shared" ref="G192:G198" si="6">SUM(D192/$D$191)</f>
        <v>9.1971544715447148E-2</v>
      </c>
    </row>
    <row r="193" spans="1:7" ht="15.75" thickBot="1" x14ac:dyDescent="0.3">
      <c r="A193" s="14" t="s">
        <v>338</v>
      </c>
      <c r="B193" s="16">
        <v>13000</v>
      </c>
      <c r="C193" s="15">
        <v>1594217</v>
      </c>
      <c r="D193" s="15">
        <v>1072</v>
      </c>
      <c r="E193" s="15">
        <v>1487</v>
      </c>
      <c r="F193" s="16">
        <v>0.53</v>
      </c>
      <c r="G193" s="3">
        <f t="shared" si="6"/>
        <v>7.7816492450638791E-2</v>
      </c>
    </row>
    <row r="194" spans="1:7" ht="15.75" thickBot="1" x14ac:dyDescent="0.3">
      <c r="A194" s="11" t="s">
        <v>339</v>
      </c>
      <c r="B194" s="13">
        <v>50000</v>
      </c>
      <c r="C194" s="12">
        <v>1750000</v>
      </c>
      <c r="D194" s="13">
        <v>575</v>
      </c>
      <c r="E194" s="12">
        <v>3043</v>
      </c>
      <c r="F194" s="13">
        <v>1.08</v>
      </c>
      <c r="G194" s="3">
        <f t="shared" si="6"/>
        <v>4.1739256678281066E-2</v>
      </c>
    </row>
    <row r="195" spans="1:7" ht="15.75" thickBot="1" x14ac:dyDescent="0.3">
      <c r="A195" s="14" t="s">
        <v>340</v>
      </c>
      <c r="B195" s="16">
        <v>30000</v>
      </c>
      <c r="C195" s="15">
        <v>1540000</v>
      </c>
      <c r="D195" s="16">
        <v>392</v>
      </c>
      <c r="E195" s="15">
        <v>3927</v>
      </c>
      <c r="F195" s="16">
        <v>1.39</v>
      </c>
      <c r="G195" s="3">
        <f t="shared" si="6"/>
        <v>2.8455284552845527E-2</v>
      </c>
    </row>
    <row r="196" spans="1:7" ht="15.75" thickBot="1" x14ac:dyDescent="0.3">
      <c r="A196" s="11" t="s">
        <v>341</v>
      </c>
      <c r="B196" s="13">
        <v>20000</v>
      </c>
      <c r="C196" s="12">
        <v>1340000</v>
      </c>
      <c r="D196" s="12">
        <v>1082</v>
      </c>
      <c r="E196" s="12">
        <v>1238</v>
      </c>
      <c r="F196" s="13">
        <v>0.44</v>
      </c>
      <c r="G196" s="3">
        <f t="shared" si="6"/>
        <v>7.8542392566782804E-2</v>
      </c>
    </row>
    <row r="197" spans="1:7" ht="15.75" thickBot="1" x14ac:dyDescent="0.3">
      <c r="A197" s="14" t="s">
        <v>342</v>
      </c>
      <c r="B197" s="16">
        <v>80000</v>
      </c>
      <c r="C197" s="15">
        <v>1500000</v>
      </c>
      <c r="D197" s="16">
        <v>392</v>
      </c>
      <c r="E197" s="15">
        <v>3825</v>
      </c>
      <c r="F197" s="16">
        <v>1.35</v>
      </c>
      <c r="G197" s="3">
        <f t="shared" si="6"/>
        <v>2.8455284552845527E-2</v>
      </c>
    </row>
    <row r="198" spans="1:7" ht="15.75" thickBot="1" x14ac:dyDescent="0.3">
      <c r="A198" s="11" t="s">
        <v>343</v>
      </c>
      <c r="B198" s="13">
        <v>70000</v>
      </c>
      <c r="C198" s="12">
        <v>900000</v>
      </c>
      <c r="D198" s="13">
        <v>256</v>
      </c>
      <c r="E198" s="12">
        <v>3516</v>
      </c>
      <c r="F198" s="13">
        <v>1.24</v>
      </c>
      <c r="G198" s="3">
        <f t="shared" si="6"/>
        <v>1.8583042973286876E-2</v>
      </c>
    </row>
    <row r="200" spans="1:7" s="4" customFormat="1" ht="29.25" thickBot="1" x14ac:dyDescent="0.5">
      <c r="A200" s="23" t="s">
        <v>379</v>
      </c>
      <c r="D200" s="5"/>
    </row>
    <row r="201" spans="1:7" ht="30.75" thickBot="1" x14ac:dyDescent="0.3">
      <c r="A201" t="s">
        <v>0</v>
      </c>
      <c r="B201" t="s">
        <v>1</v>
      </c>
      <c r="C201" s="1" t="s">
        <v>2</v>
      </c>
      <c r="D201" s="1" t="s">
        <v>3</v>
      </c>
      <c r="E201" t="s">
        <v>205</v>
      </c>
      <c r="F201" t="s">
        <v>206</v>
      </c>
      <c r="G201" s="8" t="s">
        <v>378</v>
      </c>
    </row>
    <row r="202" spans="1:7" ht="30.75" thickBot="1" x14ac:dyDescent="0.3">
      <c r="A202" s="8" t="s">
        <v>346</v>
      </c>
      <c r="B202" s="10" t="s">
        <v>347</v>
      </c>
      <c r="C202" s="9">
        <v>11100000</v>
      </c>
      <c r="D202" s="10">
        <v>730</v>
      </c>
      <c r="E202" s="9">
        <v>13804</v>
      </c>
      <c r="F202" s="10">
        <v>4.88</v>
      </c>
      <c r="G202" s="3">
        <f>SUM(D202/$D$202)</f>
        <v>1</v>
      </c>
    </row>
    <row r="203" spans="1:7" ht="15.75" thickBot="1" x14ac:dyDescent="0.3">
      <c r="A203" s="11" t="s">
        <v>348</v>
      </c>
      <c r="B203" s="13" t="s">
        <v>349</v>
      </c>
      <c r="C203" s="12">
        <v>13230000</v>
      </c>
      <c r="D203" s="13">
        <v>482</v>
      </c>
      <c r="E203" s="12">
        <v>27239</v>
      </c>
      <c r="F203" s="13">
        <v>9.64</v>
      </c>
      <c r="G203" s="3">
        <f t="shared" ref="G203:G217" si="7">SUM(D203/$D$202)</f>
        <v>0.66027397260273968</v>
      </c>
    </row>
    <row r="204" spans="1:7" ht="15.75" thickBot="1" x14ac:dyDescent="0.3">
      <c r="A204" s="14" t="s">
        <v>350</v>
      </c>
      <c r="B204" s="16" t="s">
        <v>351</v>
      </c>
      <c r="C204" s="15">
        <v>3600000</v>
      </c>
      <c r="D204" s="15">
        <v>10888</v>
      </c>
      <c r="E204" s="16">
        <v>331</v>
      </c>
      <c r="F204" s="16">
        <v>0.12</v>
      </c>
      <c r="G204" s="3">
        <f t="shared" si="7"/>
        <v>14.915068493150685</v>
      </c>
    </row>
    <row r="205" spans="1:7" ht="15.75" thickBot="1" x14ac:dyDescent="0.3">
      <c r="A205" s="11" t="s">
        <v>352</v>
      </c>
      <c r="B205" s="13" t="s">
        <v>353</v>
      </c>
      <c r="C205" s="12">
        <v>2500000</v>
      </c>
      <c r="D205" s="13">
        <v>219</v>
      </c>
      <c r="E205" s="12">
        <v>11418</v>
      </c>
      <c r="F205" s="13">
        <v>4.04</v>
      </c>
      <c r="G205" s="3">
        <f t="shared" si="7"/>
        <v>0.3</v>
      </c>
    </row>
    <row r="206" spans="1:7" ht="15.75" thickBot="1" x14ac:dyDescent="0.3">
      <c r="A206" s="14" t="s">
        <v>354</v>
      </c>
      <c r="B206" s="16" t="s">
        <v>355</v>
      </c>
      <c r="C206" s="15">
        <v>680000</v>
      </c>
      <c r="D206" s="15">
        <v>5191</v>
      </c>
      <c r="E206" s="16">
        <v>131</v>
      </c>
      <c r="F206" s="16">
        <v>0.05</v>
      </c>
      <c r="G206" s="3">
        <f t="shared" si="7"/>
        <v>7.1109589041095891</v>
      </c>
    </row>
    <row r="207" spans="1:7" ht="15.75" thickBot="1" x14ac:dyDescent="0.3">
      <c r="A207" s="11" t="s">
        <v>356</v>
      </c>
      <c r="B207" s="13" t="s">
        <v>357</v>
      </c>
      <c r="C207" s="12">
        <v>1900000</v>
      </c>
      <c r="D207" s="12">
        <v>6778</v>
      </c>
      <c r="E207" s="13">
        <v>280</v>
      </c>
      <c r="F207" s="13">
        <v>0.1</v>
      </c>
      <c r="G207" s="3">
        <f t="shared" si="7"/>
        <v>9.2849315068493148</v>
      </c>
    </row>
    <row r="208" spans="1:7" ht="30.75" thickBot="1" x14ac:dyDescent="0.3">
      <c r="A208" s="14" t="s">
        <v>358</v>
      </c>
      <c r="B208" s="16" t="s">
        <v>359</v>
      </c>
      <c r="C208" s="15">
        <v>6300000</v>
      </c>
      <c r="D208" s="16">
        <v>746</v>
      </c>
      <c r="E208" s="15">
        <v>8078</v>
      </c>
      <c r="F208" s="16">
        <v>2.86</v>
      </c>
      <c r="G208" s="3">
        <f t="shared" si="7"/>
        <v>1.021917808219178</v>
      </c>
    </row>
    <row r="209" spans="1:7" ht="30.75" thickBot="1" x14ac:dyDescent="0.3">
      <c r="A209" s="11" t="s">
        <v>360</v>
      </c>
      <c r="B209" s="13" t="s">
        <v>361</v>
      </c>
      <c r="C209" s="12">
        <v>1600000</v>
      </c>
      <c r="D209" s="13">
        <v>177</v>
      </c>
      <c r="E209" s="12">
        <v>9447</v>
      </c>
      <c r="F209" s="13">
        <v>3.34</v>
      </c>
      <c r="G209" s="3">
        <f t="shared" si="7"/>
        <v>0.24246575342465754</v>
      </c>
    </row>
    <row r="210" spans="1:7" ht="30.75" thickBot="1" x14ac:dyDescent="0.3">
      <c r="A210" s="14" t="s">
        <v>362</v>
      </c>
      <c r="B210" s="16" t="s">
        <v>363</v>
      </c>
      <c r="C210" s="15">
        <v>8000000</v>
      </c>
      <c r="D210" s="16">
        <v>412</v>
      </c>
      <c r="E210" s="15">
        <v>19479</v>
      </c>
      <c r="F210" s="16">
        <v>6.89</v>
      </c>
      <c r="G210" s="3">
        <f t="shared" si="7"/>
        <v>0.56438356164383563</v>
      </c>
    </row>
    <row r="211" spans="1:7" ht="60.75" thickBot="1" x14ac:dyDescent="0.3">
      <c r="A211" s="11" t="s">
        <v>364</v>
      </c>
      <c r="B211" s="13" t="s">
        <v>365</v>
      </c>
      <c r="C211" s="12">
        <v>17900000</v>
      </c>
      <c r="D211" s="12">
        <v>1373</v>
      </c>
      <c r="E211" s="12">
        <v>13160</v>
      </c>
      <c r="F211" s="13">
        <v>4.66</v>
      </c>
      <c r="G211" s="3">
        <f t="shared" si="7"/>
        <v>1.8808219178082193</v>
      </c>
    </row>
    <row r="212" spans="1:7" ht="45.75" thickBot="1" x14ac:dyDescent="0.3">
      <c r="A212" s="14" t="s">
        <v>366</v>
      </c>
      <c r="B212" s="16" t="s">
        <v>367</v>
      </c>
      <c r="C212" s="15">
        <v>4100000</v>
      </c>
      <c r="D212" s="16">
        <v>555</v>
      </c>
      <c r="E212" s="15">
        <v>7672</v>
      </c>
      <c r="F212" s="16">
        <v>2.71</v>
      </c>
      <c r="G212" s="3">
        <f t="shared" si="7"/>
        <v>0.76027397260273977</v>
      </c>
    </row>
    <row r="213" spans="1:7" ht="15.75" thickBot="1" x14ac:dyDescent="0.3">
      <c r="A213" s="11" t="s">
        <v>368</v>
      </c>
      <c r="B213" s="13" t="s">
        <v>369</v>
      </c>
      <c r="C213" s="12">
        <v>990000</v>
      </c>
      <c r="D213" s="12">
        <v>1050</v>
      </c>
      <c r="E213" s="13">
        <v>943</v>
      </c>
      <c r="F213" s="13">
        <v>0.33</v>
      </c>
      <c r="G213" s="3">
        <f t="shared" si="7"/>
        <v>1.4383561643835616</v>
      </c>
    </row>
    <row r="214" spans="1:7" ht="15.75" thickBot="1" x14ac:dyDescent="0.3">
      <c r="A214" s="14" t="s">
        <v>370</v>
      </c>
      <c r="B214" s="16" t="s">
        <v>371</v>
      </c>
      <c r="C214" s="15">
        <v>4100000</v>
      </c>
      <c r="D214" s="16">
        <v>613</v>
      </c>
      <c r="E214" s="15">
        <v>6981</v>
      </c>
      <c r="F214" s="16">
        <v>2.4700000000000002</v>
      </c>
      <c r="G214" s="3">
        <f t="shared" si="7"/>
        <v>0.83972602739726032</v>
      </c>
    </row>
    <row r="215" spans="1:7" ht="30.75" thickBot="1" x14ac:dyDescent="0.3">
      <c r="A215" s="11" t="s">
        <v>372</v>
      </c>
      <c r="B215" s="13" t="s">
        <v>373</v>
      </c>
      <c r="C215" s="12">
        <v>2170000</v>
      </c>
      <c r="D215" s="13">
        <v>227</v>
      </c>
      <c r="E215" s="12">
        <v>9695</v>
      </c>
      <c r="F215" s="13">
        <v>3.43</v>
      </c>
      <c r="G215" s="3">
        <f t="shared" si="7"/>
        <v>0.31095890410958904</v>
      </c>
    </row>
    <row r="216" spans="1:7" ht="30.75" thickBot="1" x14ac:dyDescent="0.3">
      <c r="A216" s="14" t="s">
        <v>374</v>
      </c>
      <c r="B216" s="16" t="s">
        <v>375</v>
      </c>
      <c r="C216" s="15">
        <v>2950000</v>
      </c>
      <c r="D216" s="16">
        <v>526</v>
      </c>
      <c r="E216" s="15">
        <v>5817</v>
      </c>
      <c r="F216" s="16">
        <v>2.06</v>
      </c>
      <c r="G216" s="3">
        <f t="shared" si="7"/>
        <v>0.72054794520547949</v>
      </c>
    </row>
    <row r="217" spans="1:7" ht="30.75" thickBot="1" x14ac:dyDescent="0.3">
      <c r="A217" s="11" t="s">
        <v>376</v>
      </c>
      <c r="B217" s="13" t="s">
        <v>377</v>
      </c>
      <c r="C217" s="12">
        <v>2100000</v>
      </c>
      <c r="D217" s="13">
        <v>278</v>
      </c>
      <c r="E217" s="12">
        <v>6202</v>
      </c>
      <c r="F217" s="13">
        <v>2.19</v>
      </c>
      <c r="G217" s="3">
        <f t="shared" si="7"/>
        <v>0.38082191780821917</v>
      </c>
    </row>
    <row r="219" spans="1:7" s="4" customFormat="1" ht="36.75" thickBot="1" x14ac:dyDescent="0.6">
      <c r="A219" s="27" t="s">
        <v>407</v>
      </c>
      <c r="D219" s="5"/>
    </row>
    <row r="220" spans="1:7" ht="15.75" thickBot="1" x14ac:dyDescent="0.3">
      <c r="A220" t="s">
        <v>0</v>
      </c>
      <c r="B220" t="s">
        <v>1</v>
      </c>
      <c r="C220" s="1" t="s">
        <v>2</v>
      </c>
      <c r="D220" s="1" t="s">
        <v>3</v>
      </c>
      <c r="E220" t="s">
        <v>205</v>
      </c>
      <c r="F220" t="s">
        <v>206</v>
      </c>
      <c r="G220" s="8" t="s">
        <v>406</v>
      </c>
    </row>
    <row r="221" spans="1:7" ht="15.75" thickBot="1" x14ac:dyDescent="0.3">
      <c r="A221" s="8" t="s">
        <v>380</v>
      </c>
      <c r="B221" s="10" t="s">
        <v>381</v>
      </c>
      <c r="C221" s="9">
        <v>12278210</v>
      </c>
      <c r="D221" s="9">
        <v>2513</v>
      </c>
      <c r="E221" s="9">
        <v>4887</v>
      </c>
      <c r="F221" s="10">
        <v>1.73</v>
      </c>
      <c r="G221" s="3">
        <f>SUM(D221/$D$221)</f>
        <v>1</v>
      </c>
    </row>
    <row r="222" spans="1:7" ht="30.75" thickBot="1" x14ac:dyDescent="0.3">
      <c r="A222" s="11" t="s">
        <v>382</v>
      </c>
      <c r="B222" s="13" t="s">
        <v>383</v>
      </c>
      <c r="C222" s="12">
        <v>8032377</v>
      </c>
      <c r="D222" s="13">
        <v>338</v>
      </c>
      <c r="E222" s="12">
        <v>23753</v>
      </c>
      <c r="F222" s="13">
        <v>8.41</v>
      </c>
      <c r="G222" s="3">
        <f t="shared" ref="G222:G233" si="8">SUM(D222/$D$221)</f>
        <v>0.13450059689614008</v>
      </c>
    </row>
    <row r="223" spans="1:7" ht="30.75" thickBot="1" x14ac:dyDescent="0.3">
      <c r="A223" s="14" t="s">
        <v>384</v>
      </c>
      <c r="B223" s="16" t="s">
        <v>385</v>
      </c>
      <c r="C223" s="15">
        <v>6032786</v>
      </c>
      <c r="D223" s="16">
        <v>180</v>
      </c>
      <c r="E223" s="15">
        <v>33820</v>
      </c>
      <c r="F223" s="16">
        <v>11.97</v>
      </c>
      <c r="G223" s="3">
        <f t="shared" si="8"/>
        <v>7.1627536808595307E-2</v>
      </c>
    </row>
    <row r="224" spans="1:7" ht="15.75" thickBot="1" x14ac:dyDescent="0.3">
      <c r="A224" s="11" t="s">
        <v>386</v>
      </c>
      <c r="B224" s="13" t="s">
        <v>387</v>
      </c>
      <c r="C224" s="12">
        <v>6091696</v>
      </c>
      <c r="D224" s="13">
        <v>193</v>
      </c>
      <c r="E224" s="12">
        <v>31950</v>
      </c>
      <c r="F224" s="13">
        <v>11.31</v>
      </c>
      <c r="G224" s="3">
        <f t="shared" si="8"/>
        <v>7.6800636689216079E-2</v>
      </c>
    </row>
    <row r="225" spans="1:7" ht="30.75" thickBot="1" x14ac:dyDescent="0.3">
      <c r="A225" s="14" t="s">
        <v>401</v>
      </c>
      <c r="B225" s="16" t="s">
        <v>402</v>
      </c>
      <c r="C225" s="15">
        <v>5106779</v>
      </c>
      <c r="D225" s="16">
        <v>436</v>
      </c>
      <c r="E225" s="15">
        <v>11710</v>
      </c>
      <c r="F225" s="16">
        <v>4.1399999999999997</v>
      </c>
      <c r="G225" s="3">
        <f t="shared" si="8"/>
        <v>0.17349781138081974</v>
      </c>
    </row>
    <row r="226" spans="1:7" ht="15.75" thickBot="1" x14ac:dyDescent="0.3">
      <c r="A226" s="11" t="s">
        <v>390</v>
      </c>
      <c r="B226" s="13" t="s">
        <v>391</v>
      </c>
      <c r="C226" s="12">
        <v>5549586</v>
      </c>
      <c r="D226" s="13">
        <v>205</v>
      </c>
      <c r="E226" s="12">
        <v>27178</v>
      </c>
      <c r="F226" s="13">
        <v>9.6199999999999992</v>
      </c>
      <c r="G226" s="3">
        <f t="shared" si="8"/>
        <v>8.1575805809789098E-2</v>
      </c>
    </row>
    <row r="227" spans="1:7" ht="15.75" thickBot="1" x14ac:dyDescent="0.3">
      <c r="A227" s="14" t="s">
        <v>388</v>
      </c>
      <c r="B227" s="16" t="s">
        <v>389</v>
      </c>
      <c r="C227" s="15">
        <v>6004947</v>
      </c>
      <c r="D227" s="16">
        <v>583</v>
      </c>
      <c r="E227" s="15">
        <v>10298</v>
      </c>
      <c r="F227" s="16">
        <v>3.64</v>
      </c>
      <c r="G227" s="3">
        <f t="shared" si="8"/>
        <v>0.23199363310783924</v>
      </c>
    </row>
    <row r="228" spans="1:7" ht="30.75" thickBot="1" x14ac:dyDescent="0.3">
      <c r="A228" s="11" t="s">
        <v>397</v>
      </c>
      <c r="B228" s="13" t="s">
        <v>398</v>
      </c>
      <c r="C228" s="12">
        <v>2801695</v>
      </c>
      <c r="D228" s="13">
        <v>121</v>
      </c>
      <c r="E228" s="12">
        <v>23187</v>
      </c>
      <c r="F228" s="13">
        <v>8.2100000000000009</v>
      </c>
      <c r="G228" s="3">
        <f t="shared" si="8"/>
        <v>4.8149621965777954E-2</v>
      </c>
    </row>
    <row r="229" spans="1:7" ht="15.75" thickBot="1" x14ac:dyDescent="0.3">
      <c r="A229" s="14" t="s">
        <v>395</v>
      </c>
      <c r="B229" s="16" t="s">
        <v>396</v>
      </c>
      <c r="C229" s="15">
        <v>3330478</v>
      </c>
      <c r="D229" s="16">
        <v>246</v>
      </c>
      <c r="E229" s="15">
        <v>13545</v>
      </c>
      <c r="F229" s="16">
        <v>4.79</v>
      </c>
      <c r="G229" s="3">
        <f t="shared" si="8"/>
        <v>9.7890966971746915E-2</v>
      </c>
    </row>
    <row r="230" spans="1:7" ht="15.75" thickBot="1" x14ac:dyDescent="0.3">
      <c r="A230" s="11" t="s">
        <v>403</v>
      </c>
      <c r="B230" s="13" t="s">
        <v>394</v>
      </c>
      <c r="C230" s="12">
        <v>3430446</v>
      </c>
      <c r="D230" s="13">
        <v>330</v>
      </c>
      <c r="E230" s="12">
        <v>10505</v>
      </c>
      <c r="F230" s="13">
        <v>3.72</v>
      </c>
      <c r="G230" s="3">
        <f t="shared" si="8"/>
        <v>0.13131715081575807</v>
      </c>
    </row>
    <row r="231" spans="1:7" ht="30.75" thickBot="1" x14ac:dyDescent="0.3">
      <c r="A231" s="14" t="s">
        <v>399</v>
      </c>
      <c r="B231" s="16" t="s">
        <v>400</v>
      </c>
      <c r="C231" s="15">
        <v>2577435</v>
      </c>
      <c r="D231" s="16">
        <v>133</v>
      </c>
      <c r="E231" s="15">
        <v>19155</v>
      </c>
      <c r="F231" s="16">
        <v>6.78</v>
      </c>
      <c r="G231" s="3">
        <f t="shared" si="8"/>
        <v>5.2924791086350974E-2</v>
      </c>
    </row>
    <row r="232" spans="1:7" ht="15.75" thickBot="1" x14ac:dyDescent="0.3">
      <c r="A232" s="11" t="s">
        <v>392</v>
      </c>
      <c r="B232" s="13" t="s">
        <v>393</v>
      </c>
      <c r="C232" s="12">
        <v>3894336</v>
      </c>
      <c r="D232" s="13">
        <v>266</v>
      </c>
      <c r="E232" s="12">
        <v>14635</v>
      </c>
      <c r="F232" s="13">
        <v>5.18</v>
      </c>
      <c r="G232" s="3">
        <f t="shared" si="8"/>
        <v>0.10584958217270195</v>
      </c>
    </row>
    <row r="233" spans="1:7" ht="15.75" thickBot="1" x14ac:dyDescent="0.3">
      <c r="A233" s="14" t="s">
        <v>404</v>
      </c>
      <c r="B233" s="16" t="s">
        <v>405</v>
      </c>
      <c r="C233" s="15">
        <v>351255</v>
      </c>
      <c r="D233" s="16">
        <v>104</v>
      </c>
      <c r="E233" s="15">
        <v>3367</v>
      </c>
      <c r="F233" s="16">
        <v>1.19</v>
      </c>
      <c r="G233" s="3">
        <f t="shared" si="8"/>
        <v>4.1384799044966177E-2</v>
      </c>
    </row>
    <row r="235" spans="1:7" s="4" customFormat="1" ht="28.5" x14ac:dyDescent="0.45">
      <c r="A235" s="23" t="s">
        <v>507</v>
      </c>
      <c r="D235" s="5"/>
    </row>
    <row r="236" spans="1:7" ht="15.75" thickBot="1" x14ac:dyDescent="0.3">
      <c r="A236" t="s">
        <v>0</v>
      </c>
      <c r="B236" t="s">
        <v>1</v>
      </c>
      <c r="C236" s="1" t="s">
        <v>2</v>
      </c>
      <c r="D236" s="1" t="s">
        <v>3</v>
      </c>
      <c r="E236" t="s">
        <v>205</v>
      </c>
      <c r="F236" t="s">
        <v>206</v>
      </c>
      <c r="G236" t="s">
        <v>506</v>
      </c>
    </row>
    <row r="237" spans="1:7" ht="15.75" thickBot="1" x14ac:dyDescent="0.3">
      <c r="A237" s="8" t="s">
        <v>408</v>
      </c>
      <c r="B237" s="10" t="s">
        <v>409</v>
      </c>
      <c r="C237" s="9">
        <v>333340</v>
      </c>
      <c r="D237" s="10">
        <v>210.2</v>
      </c>
      <c r="E237" s="9">
        <v>1587</v>
      </c>
      <c r="F237" s="10">
        <v>0.56000000000000005</v>
      </c>
      <c r="G237" s="3">
        <f>SUM(D237/$D$237)</f>
        <v>1</v>
      </c>
    </row>
    <row r="238" spans="1:7" ht="15.75" thickBot="1" x14ac:dyDescent="0.3">
      <c r="A238" s="11" t="s">
        <v>410</v>
      </c>
      <c r="B238" s="13" t="s">
        <v>411</v>
      </c>
      <c r="C238" s="12">
        <v>386464</v>
      </c>
      <c r="D238" s="13">
        <v>59.7</v>
      </c>
      <c r="E238" s="12">
        <v>6473</v>
      </c>
      <c r="F238" s="13">
        <v>2.29</v>
      </c>
      <c r="G238" s="3">
        <f t="shared" ref="G238:G286" si="9">SUM(D238/$D$237)</f>
        <v>0.28401522359657472</v>
      </c>
    </row>
    <row r="239" spans="1:7" ht="15.75" thickBot="1" x14ac:dyDescent="0.3">
      <c r="A239" s="14" t="s">
        <v>412</v>
      </c>
      <c r="B239" s="16" t="s">
        <v>413</v>
      </c>
      <c r="C239" s="15">
        <v>1838819</v>
      </c>
      <c r="D239" s="16">
        <v>629.6</v>
      </c>
      <c r="E239" s="15">
        <v>2921</v>
      </c>
      <c r="F239" s="16">
        <v>1.03</v>
      </c>
      <c r="G239" s="3">
        <f t="shared" si="9"/>
        <v>2.9952426260704095</v>
      </c>
    </row>
    <row r="240" spans="1:7" ht="15.75" thickBot="1" x14ac:dyDescent="0.3">
      <c r="A240" s="11" t="s">
        <v>414</v>
      </c>
      <c r="B240" s="13" t="s">
        <v>415</v>
      </c>
      <c r="C240" s="12">
        <v>727945</v>
      </c>
      <c r="D240" s="13">
        <v>117.6</v>
      </c>
      <c r="E240" s="12">
        <v>6192</v>
      </c>
      <c r="F240" s="13">
        <v>2.19</v>
      </c>
      <c r="G240" s="3">
        <f t="shared" si="9"/>
        <v>0.55946717411988578</v>
      </c>
    </row>
    <row r="241" spans="1:7" ht="15.75" thickBot="1" x14ac:dyDescent="0.3">
      <c r="A241" s="14" t="s">
        <v>416</v>
      </c>
      <c r="B241" s="16" t="s">
        <v>417</v>
      </c>
      <c r="C241" s="15">
        <v>1018784</v>
      </c>
      <c r="D241" s="16">
        <v>288.89999999999998</v>
      </c>
      <c r="E241" s="15">
        <v>3526</v>
      </c>
      <c r="F241" s="16">
        <v>1.25</v>
      </c>
      <c r="G241" s="3">
        <f t="shared" si="9"/>
        <v>1.3744053282588011</v>
      </c>
    </row>
    <row r="242" spans="1:7" ht="15.75" thickBot="1" x14ac:dyDescent="0.3">
      <c r="A242" s="11" t="s">
        <v>418</v>
      </c>
      <c r="B242" s="13" t="s">
        <v>419</v>
      </c>
      <c r="C242" s="12">
        <v>158265</v>
      </c>
      <c r="D242" s="13">
        <v>29</v>
      </c>
      <c r="E242" s="12">
        <v>5457</v>
      </c>
      <c r="F242" s="13">
        <v>1.93</v>
      </c>
      <c r="G242" s="3">
        <f t="shared" si="9"/>
        <v>0.13796384395813513</v>
      </c>
    </row>
    <row r="243" spans="1:7" ht="15.75" thickBot="1" x14ac:dyDescent="0.3">
      <c r="A243" s="14" t="s">
        <v>420</v>
      </c>
      <c r="B243" s="16" t="s">
        <v>421</v>
      </c>
      <c r="C243" s="15">
        <v>668942</v>
      </c>
      <c r="D243" s="16">
        <v>55.6</v>
      </c>
      <c r="E243" s="15">
        <v>12029</v>
      </c>
      <c r="F243" s="16">
        <v>4.26</v>
      </c>
      <c r="G243" s="3">
        <f t="shared" si="9"/>
        <v>0.26450999048525214</v>
      </c>
    </row>
    <row r="244" spans="1:7" ht="15.75" thickBot="1" x14ac:dyDescent="0.3">
      <c r="A244" s="11" t="s">
        <v>422</v>
      </c>
      <c r="B244" s="13" t="s">
        <v>423</v>
      </c>
      <c r="C244" s="12">
        <v>5743402</v>
      </c>
      <c r="D244" s="28">
        <v>1800.7</v>
      </c>
      <c r="E244" s="12">
        <v>3191</v>
      </c>
      <c r="F244" s="13">
        <v>1.1299999999999999</v>
      </c>
      <c r="G244" s="3">
        <f t="shared" si="9"/>
        <v>8.5666032350142736</v>
      </c>
    </row>
    <row r="245" spans="1:7" ht="15.75" thickBot="1" x14ac:dyDescent="0.3">
      <c r="A245" s="14" t="s">
        <v>424</v>
      </c>
      <c r="B245" s="16" t="s">
        <v>425</v>
      </c>
      <c r="C245" s="15">
        <v>349725</v>
      </c>
      <c r="D245" s="16">
        <v>49.7</v>
      </c>
      <c r="E245" s="15">
        <v>7035</v>
      </c>
      <c r="F245" s="16">
        <v>2.4900000000000002</v>
      </c>
      <c r="G245" s="3">
        <f t="shared" si="9"/>
        <v>0.23644148430066605</v>
      </c>
    </row>
    <row r="246" spans="1:7" ht="15.75" thickBot="1" x14ac:dyDescent="0.3">
      <c r="A246" s="11" t="s">
        <v>426</v>
      </c>
      <c r="B246" s="13" t="s">
        <v>427</v>
      </c>
      <c r="C246" s="12">
        <v>393716</v>
      </c>
      <c r="D246" s="13">
        <v>44.7</v>
      </c>
      <c r="E246" s="12">
        <v>8810</v>
      </c>
      <c r="F246" s="13">
        <v>3.12</v>
      </c>
      <c r="G246" s="3">
        <f t="shared" si="9"/>
        <v>0.21265461465271174</v>
      </c>
    </row>
    <row r="247" spans="1:7" ht="15.75" thickBot="1" x14ac:dyDescent="0.3">
      <c r="A247" s="14" t="s">
        <v>428</v>
      </c>
      <c r="B247" s="16" t="s">
        <v>429</v>
      </c>
      <c r="C247" s="15">
        <v>1244049</v>
      </c>
      <c r="D247" s="16">
        <v>391</v>
      </c>
      <c r="E247" s="15">
        <v>3182</v>
      </c>
      <c r="F247" s="16">
        <v>1.1299999999999999</v>
      </c>
      <c r="G247" s="3">
        <f t="shared" si="9"/>
        <v>1.8601332064700287</v>
      </c>
    </row>
    <row r="248" spans="1:7" ht="15.75" thickBot="1" x14ac:dyDescent="0.3">
      <c r="A248" s="11" t="s">
        <v>430</v>
      </c>
      <c r="B248" s="13" t="s">
        <v>431</v>
      </c>
      <c r="C248" s="12">
        <v>585222</v>
      </c>
      <c r="D248" s="13">
        <v>426.7</v>
      </c>
      <c r="E248" s="12">
        <v>1372</v>
      </c>
      <c r="F248" s="13">
        <v>0.49</v>
      </c>
      <c r="G248" s="3">
        <f t="shared" si="9"/>
        <v>2.0299714557564226</v>
      </c>
    </row>
    <row r="249" spans="1:7" ht="15.75" thickBot="1" x14ac:dyDescent="0.3">
      <c r="A249" s="14" t="s">
        <v>432</v>
      </c>
      <c r="B249" s="16" t="s">
        <v>433</v>
      </c>
      <c r="C249" s="15">
        <v>590616</v>
      </c>
      <c r="D249" s="16">
        <v>236.6</v>
      </c>
      <c r="E249" s="15">
        <v>2496</v>
      </c>
      <c r="F249" s="16">
        <v>0.88</v>
      </c>
      <c r="G249" s="3">
        <f t="shared" si="9"/>
        <v>1.1255946717411989</v>
      </c>
    </row>
    <row r="250" spans="1:7" ht="15.75" thickBot="1" x14ac:dyDescent="0.3">
      <c r="A250" s="11" t="s">
        <v>434</v>
      </c>
      <c r="B250" s="13" t="s">
        <v>435</v>
      </c>
      <c r="C250" s="12">
        <v>495045</v>
      </c>
      <c r="D250" s="13">
        <v>50.5</v>
      </c>
      <c r="E250" s="12">
        <v>9803</v>
      </c>
      <c r="F250" s="13">
        <v>3.47</v>
      </c>
      <c r="G250" s="3">
        <f t="shared" si="9"/>
        <v>0.24024738344433874</v>
      </c>
    </row>
    <row r="251" spans="1:7" ht="15.75" thickBot="1" x14ac:dyDescent="0.3">
      <c r="A251" s="14" t="s">
        <v>436</v>
      </c>
      <c r="B251" s="16" t="s">
        <v>437</v>
      </c>
      <c r="C251" s="15">
        <v>772464</v>
      </c>
      <c r="D251" s="16">
        <v>97.8</v>
      </c>
      <c r="E251" s="15">
        <v>7893</v>
      </c>
      <c r="F251" s="16">
        <v>2.79</v>
      </c>
      <c r="G251" s="3">
        <f t="shared" si="9"/>
        <v>0.46527117031398668</v>
      </c>
    </row>
    <row r="252" spans="1:7" ht="15.75" thickBot="1" x14ac:dyDescent="0.3">
      <c r="A252" s="11" t="s">
        <v>438</v>
      </c>
      <c r="B252" s="13" t="s">
        <v>439</v>
      </c>
      <c r="C252" s="12">
        <v>1124530</v>
      </c>
      <c r="D252" s="13">
        <v>375.5</v>
      </c>
      <c r="E252" s="12">
        <v>2995</v>
      </c>
      <c r="F252" s="13">
        <v>1.06</v>
      </c>
      <c r="G252" s="3">
        <f t="shared" si="9"/>
        <v>1.7863939105613702</v>
      </c>
    </row>
    <row r="253" spans="1:7" ht="15.75" thickBot="1" x14ac:dyDescent="0.3">
      <c r="A253" s="14" t="s">
        <v>440</v>
      </c>
      <c r="B253" s="16" t="s">
        <v>441</v>
      </c>
      <c r="C253" s="15">
        <v>195022</v>
      </c>
      <c r="D253" s="16">
        <v>24.1</v>
      </c>
      <c r="E253" s="15">
        <v>8093</v>
      </c>
      <c r="F253" s="16">
        <v>2.86</v>
      </c>
      <c r="G253" s="3">
        <f t="shared" si="9"/>
        <v>0.11465271170313988</v>
      </c>
    </row>
    <row r="254" spans="1:7" ht="15.75" thickBot="1" x14ac:dyDescent="0.3">
      <c r="A254" s="11" t="s">
        <v>442</v>
      </c>
      <c r="B254" s="13" t="s">
        <v>443</v>
      </c>
      <c r="C254" s="12">
        <v>793478</v>
      </c>
      <c r="D254" s="13">
        <v>266.2</v>
      </c>
      <c r="E254" s="12">
        <v>2982</v>
      </c>
      <c r="F254" s="13">
        <v>1.05</v>
      </c>
      <c r="G254" s="3">
        <f t="shared" si="9"/>
        <v>1.2664129400570885</v>
      </c>
    </row>
    <row r="255" spans="1:7" ht="15.75" thickBot="1" x14ac:dyDescent="0.3">
      <c r="A255" s="14" t="s">
        <v>444</v>
      </c>
      <c r="B255" s="16" t="s">
        <v>445</v>
      </c>
      <c r="C255" s="15">
        <v>927406</v>
      </c>
      <c r="D255" s="16">
        <v>129.69999999999999</v>
      </c>
      <c r="E255" s="15">
        <v>7150</v>
      </c>
      <c r="F255" s="16">
        <v>2.5299999999999998</v>
      </c>
      <c r="G255" s="3">
        <f t="shared" si="9"/>
        <v>0.61703139866793533</v>
      </c>
    </row>
    <row r="256" spans="1:7" ht="15.75" thickBot="1" x14ac:dyDescent="0.3">
      <c r="A256" s="11" t="s">
        <v>446</v>
      </c>
      <c r="B256" s="13" t="s">
        <v>447</v>
      </c>
      <c r="C256" s="12">
        <v>267447</v>
      </c>
      <c r="D256" s="13">
        <v>41.9</v>
      </c>
      <c r="E256" s="12">
        <v>6387</v>
      </c>
      <c r="F256" s="13">
        <v>2.2599999999999998</v>
      </c>
      <c r="G256" s="3">
        <f t="shared" si="9"/>
        <v>0.19933396764985728</v>
      </c>
    </row>
    <row r="257" spans="1:7" ht="15.75" thickBot="1" x14ac:dyDescent="0.3">
      <c r="A257" s="14" t="s">
        <v>448</v>
      </c>
      <c r="B257" s="16" t="s">
        <v>405</v>
      </c>
      <c r="C257" s="15">
        <v>723576</v>
      </c>
      <c r="D257" s="16">
        <v>840.2</v>
      </c>
      <c r="E257" s="16">
        <v>862</v>
      </c>
      <c r="F257" s="16">
        <v>0.31</v>
      </c>
      <c r="G257" s="3">
        <f t="shared" si="9"/>
        <v>3.997145575642246</v>
      </c>
    </row>
    <row r="258" spans="1:7" ht="15.75" thickBot="1" x14ac:dyDescent="0.3">
      <c r="A258" s="11" t="s">
        <v>449</v>
      </c>
      <c r="B258" s="13" t="s">
        <v>450</v>
      </c>
      <c r="C258" s="12">
        <v>524278</v>
      </c>
      <c r="D258" s="13">
        <v>80.400000000000006</v>
      </c>
      <c r="E258" s="12">
        <v>6521</v>
      </c>
      <c r="F258" s="13">
        <v>2.31</v>
      </c>
      <c r="G258" s="3">
        <f t="shared" si="9"/>
        <v>0.38249286393910564</v>
      </c>
    </row>
    <row r="259" spans="1:7" ht="15.75" thickBot="1" x14ac:dyDescent="0.3">
      <c r="A259" s="14" t="s">
        <v>451</v>
      </c>
      <c r="B259" s="16" t="s">
        <v>452</v>
      </c>
      <c r="C259" s="15">
        <v>224397</v>
      </c>
      <c r="D259" s="16">
        <v>21</v>
      </c>
      <c r="E259" s="15">
        <v>10684</v>
      </c>
      <c r="F259" s="16">
        <v>3.78</v>
      </c>
      <c r="G259" s="3">
        <f t="shared" si="9"/>
        <v>9.9904852521408183E-2</v>
      </c>
    </row>
    <row r="260" spans="1:7" ht="15.75" thickBot="1" x14ac:dyDescent="0.3">
      <c r="A260" s="11" t="s">
        <v>453</v>
      </c>
      <c r="B260" s="13" t="s">
        <v>454</v>
      </c>
      <c r="C260" s="12">
        <v>1176659</v>
      </c>
      <c r="D260" s="13">
        <v>570.9</v>
      </c>
      <c r="E260" s="12">
        <v>2062</v>
      </c>
      <c r="F260" s="13">
        <v>0.73</v>
      </c>
      <c r="G260" s="3">
        <f t="shared" si="9"/>
        <v>2.7159847764034253</v>
      </c>
    </row>
    <row r="261" spans="1:7" ht="15.75" thickBot="1" x14ac:dyDescent="0.3">
      <c r="A261" s="14" t="s">
        <v>455</v>
      </c>
      <c r="B261" s="16" t="s">
        <v>456</v>
      </c>
      <c r="C261" s="15">
        <v>623761</v>
      </c>
      <c r="D261" s="16">
        <v>82.2</v>
      </c>
      <c r="E261" s="15">
        <v>7588</v>
      </c>
      <c r="F261" s="16">
        <v>2.69</v>
      </c>
      <c r="G261" s="3">
        <f t="shared" si="9"/>
        <v>0.39105613701236919</v>
      </c>
    </row>
    <row r="262" spans="1:7" ht="15.75" thickBot="1" x14ac:dyDescent="0.3">
      <c r="A262" s="11" t="s">
        <v>457</v>
      </c>
      <c r="B262" s="13" t="s">
        <v>458</v>
      </c>
      <c r="C262" s="12">
        <v>319892</v>
      </c>
      <c r="D262" s="13">
        <v>272</v>
      </c>
      <c r="E262" s="12">
        <v>1176</v>
      </c>
      <c r="F262" s="13">
        <v>0.42</v>
      </c>
      <c r="G262" s="3">
        <f t="shared" si="9"/>
        <v>1.2940057088487156</v>
      </c>
    </row>
    <row r="263" spans="1:7" ht="15.75" thickBot="1" x14ac:dyDescent="0.3">
      <c r="A263" s="14" t="s">
        <v>459</v>
      </c>
      <c r="B263" s="16" t="s">
        <v>460</v>
      </c>
      <c r="C263" s="15">
        <v>1146476</v>
      </c>
      <c r="D263" s="29">
        <v>1238.8</v>
      </c>
      <c r="E263" s="16">
        <v>925</v>
      </c>
      <c r="F263" s="16">
        <v>0.33</v>
      </c>
      <c r="G263" s="3">
        <f t="shared" si="9"/>
        <v>5.8934348239771648</v>
      </c>
    </row>
    <row r="264" spans="1:7" ht="15.75" thickBot="1" x14ac:dyDescent="0.3">
      <c r="A264" s="11" t="s">
        <v>461</v>
      </c>
      <c r="B264" s="13" t="s">
        <v>462</v>
      </c>
      <c r="C264" s="12">
        <v>447963</v>
      </c>
      <c r="D264" s="13">
        <v>45.3</v>
      </c>
      <c r="E264" s="12">
        <v>9891</v>
      </c>
      <c r="F264" s="13">
        <v>3.5</v>
      </c>
      <c r="G264" s="3">
        <f t="shared" si="9"/>
        <v>0.21550903901046622</v>
      </c>
    </row>
    <row r="265" spans="1:7" ht="15.75" thickBot="1" x14ac:dyDescent="0.3">
      <c r="A265" s="14" t="s">
        <v>463</v>
      </c>
      <c r="B265" s="16" t="s">
        <v>464</v>
      </c>
      <c r="C265" s="15">
        <v>442104</v>
      </c>
      <c r="D265" s="16">
        <v>50</v>
      </c>
      <c r="E265" s="15">
        <v>8842</v>
      </c>
      <c r="F265" s="16">
        <v>3.13</v>
      </c>
      <c r="G265" s="3">
        <f t="shared" si="9"/>
        <v>0.23786869647954331</v>
      </c>
    </row>
    <row r="266" spans="1:7" ht="15.75" thickBot="1" x14ac:dyDescent="0.3">
      <c r="A266" s="11" t="s">
        <v>465</v>
      </c>
      <c r="B266" s="13" t="s">
        <v>466</v>
      </c>
      <c r="C266" s="12">
        <v>326013</v>
      </c>
      <c r="D266" s="13">
        <v>62.6</v>
      </c>
      <c r="E266" s="12">
        <v>5209</v>
      </c>
      <c r="F266" s="13">
        <v>1.84</v>
      </c>
      <c r="G266" s="3">
        <f t="shared" si="9"/>
        <v>0.29781160799238821</v>
      </c>
    </row>
    <row r="267" spans="1:7" ht="15.75" thickBot="1" x14ac:dyDescent="0.3">
      <c r="A267" s="14" t="s">
        <v>467</v>
      </c>
      <c r="B267" s="16" t="s">
        <v>355</v>
      </c>
      <c r="C267" s="15">
        <v>6661949</v>
      </c>
      <c r="D267" s="29">
        <v>2155.1999999999998</v>
      </c>
      <c r="E267" s="15">
        <v>3091</v>
      </c>
      <c r="F267" s="16">
        <v>1.0900000000000001</v>
      </c>
      <c r="G267" s="3">
        <f t="shared" si="9"/>
        <v>10.253092293054234</v>
      </c>
    </row>
    <row r="268" spans="1:7" ht="15.75" thickBot="1" x14ac:dyDescent="0.3">
      <c r="A268" s="11" t="s">
        <v>468</v>
      </c>
      <c r="B268" s="13" t="s">
        <v>469</v>
      </c>
      <c r="C268" s="12">
        <v>1750387</v>
      </c>
      <c r="D268" s="13">
        <v>650.1</v>
      </c>
      <c r="E268" s="12">
        <v>2692</v>
      </c>
      <c r="F268" s="13">
        <v>0.95</v>
      </c>
      <c r="G268" s="3">
        <f t="shared" si="9"/>
        <v>3.0927687916270221</v>
      </c>
    </row>
    <row r="269" spans="1:7" ht="15.75" thickBot="1" x14ac:dyDescent="0.3">
      <c r="A269" s="14" t="s">
        <v>470</v>
      </c>
      <c r="B269" s="16" t="s">
        <v>471</v>
      </c>
      <c r="C269" s="15">
        <v>1563028</v>
      </c>
      <c r="D269" s="16">
        <v>394.6</v>
      </c>
      <c r="E269" s="15">
        <v>3963</v>
      </c>
      <c r="F269" s="16">
        <v>1.4</v>
      </c>
      <c r="G269" s="3">
        <f t="shared" si="9"/>
        <v>1.877259752616556</v>
      </c>
    </row>
    <row r="270" spans="1:7" ht="15.75" thickBot="1" x14ac:dyDescent="0.3">
      <c r="A270" s="11" t="s">
        <v>472</v>
      </c>
      <c r="B270" s="13" t="s">
        <v>473</v>
      </c>
      <c r="C270" s="12">
        <v>661197</v>
      </c>
      <c r="D270" s="13">
        <v>168</v>
      </c>
      <c r="E270" s="12">
        <v>3937</v>
      </c>
      <c r="F270" s="13">
        <v>1.39</v>
      </c>
      <c r="G270" s="3">
        <f t="shared" si="9"/>
        <v>0.79923882017126546</v>
      </c>
    </row>
    <row r="271" spans="1:7" ht="15.75" thickBot="1" x14ac:dyDescent="0.3">
      <c r="A271" s="14" t="s">
        <v>474</v>
      </c>
      <c r="B271" s="16" t="s">
        <v>475</v>
      </c>
      <c r="C271" s="15">
        <v>304280</v>
      </c>
      <c r="D271" s="16">
        <v>48.7</v>
      </c>
      <c r="E271" s="15">
        <v>6247</v>
      </c>
      <c r="F271" s="16">
        <v>2.21</v>
      </c>
      <c r="G271" s="3">
        <f t="shared" si="9"/>
        <v>0.2316841103710752</v>
      </c>
    </row>
    <row r="272" spans="1:7" ht="15.75" thickBot="1" x14ac:dyDescent="0.3">
      <c r="A272" s="11" t="s">
        <v>476</v>
      </c>
      <c r="B272" s="13" t="s">
        <v>477</v>
      </c>
      <c r="C272" s="12">
        <v>160980</v>
      </c>
      <c r="D272" s="13">
        <v>38.200000000000003</v>
      </c>
      <c r="E272" s="12">
        <v>4212</v>
      </c>
      <c r="F272" s="13">
        <v>1.49</v>
      </c>
      <c r="G272" s="3">
        <f t="shared" si="9"/>
        <v>0.18173168411037111</v>
      </c>
    </row>
    <row r="273" spans="1:7" ht="15.75" thickBot="1" x14ac:dyDescent="0.3">
      <c r="A273" s="14" t="s">
        <v>478</v>
      </c>
      <c r="B273" s="16" t="s">
        <v>479</v>
      </c>
      <c r="C273" s="15">
        <v>940280</v>
      </c>
      <c r="D273" s="16">
        <v>488.7</v>
      </c>
      <c r="E273" s="15">
        <v>1924</v>
      </c>
      <c r="F273" s="16">
        <v>0.68</v>
      </c>
      <c r="G273" s="3">
        <f t="shared" si="9"/>
        <v>2.3249286393910564</v>
      </c>
    </row>
    <row r="274" spans="1:7" ht="15.75" thickBot="1" x14ac:dyDescent="0.3">
      <c r="A274" s="11" t="s">
        <v>480</v>
      </c>
      <c r="B274" s="13" t="s">
        <v>481</v>
      </c>
      <c r="C274" s="12">
        <v>325898</v>
      </c>
      <c r="D274" s="13">
        <v>40.5</v>
      </c>
      <c r="E274" s="12">
        <v>8049</v>
      </c>
      <c r="F274" s="13">
        <v>2.85</v>
      </c>
      <c r="G274" s="3">
        <f t="shared" si="9"/>
        <v>0.19267364414843008</v>
      </c>
    </row>
    <row r="275" spans="1:7" ht="30.75" thickBot="1" x14ac:dyDescent="0.3">
      <c r="A275" s="14" t="s">
        <v>482</v>
      </c>
      <c r="B275" s="16" t="s">
        <v>483</v>
      </c>
      <c r="C275" s="15">
        <v>1056824</v>
      </c>
      <c r="D275" s="29">
        <v>1059.5</v>
      </c>
      <c r="E275" s="16">
        <v>998</v>
      </c>
      <c r="F275" s="16">
        <v>0.35</v>
      </c>
      <c r="G275" s="3">
        <f t="shared" si="9"/>
        <v>5.0404376784015223</v>
      </c>
    </row>
    <row r="276" spans="1:7" ht="15.75" thickBot="1" x14ac:dyDescent="0.3">
      <c r="A276" s="11" t="s">
        <v>484</v>
      </c>
      <c r="B276" s="13" t="s">
        <v>485</v>
      </c>
      <c r="C276" s="12">
        <v>153129</v>
      </c>
      <c r="D276" s="13">
        <v>31.7</v>
      </c>
      <c r="E276" s="12">
        <v>4829</v>
      </c>
      <c r="F276" s="13">
        <v>1.71</v>
      </c>
      <c r="G276" s="3">
        <f t="shared" si="9"/>
        <v>0.15080875356803045</v>
      </c>
    </row>
    <row r="277" spans="1:7" ht="15.75" thickBot="1" x14ac:dyDescent="0.3">
      <c r="A277" s="14" t="s">
        <v>486</v>
      </c>
      <c r="B277" s="16" t="s">
        <v>487</v>
      </c>
      <c r="C277" s="15">
        <v>1957567</v>
      </c>
      <c r="D277" s="16">
        <v>325</v>
      </c>
      <c r="E277" s="15">
        <v>6022</v>
      </c>
      <c r="F277" s="16">
        <v>2.13</v>
      </c>
      <c r="G277" s="3">
        <f t="shared" si="9"/>
        <v>1.5461465271170314</v>
      </c>
    </row>
    <row r="278" spans="1:7" ht="15.75" thickBot="1" x14ac:dyDescent="0.3">
      <c r="A278" s="11" t="s">
        <v>488</v>
      </c>
      <c r="B278" s="13" t="s">
        <v>489</v>
      </c>
      <c r="C278" s="12">
        <v>88884</v>
      </c>
      <c r="D278" s="13">
        <v>19.7</v>
      </c>
      <c r="E278" s="12">
        <v>4515</v>
      </c>
      <c r="F278" s="13">
        <v>1.6</v>
      </c>
      <c r="G278" s="3">
        <f t="shared" si="9"/>
        <v>9.3720266412940054E-2</v>
      </c>
    </row>
    <row r="279" spans="1:7" ht="15.75" thickBot="1" x14ac:dyDescent="0.3">
      <c r="A279" s="14" t="s">
        <v>490</v>
      </c>
      <c r="B279" s="16" t="s">
        <v>491</v>
      </c>
      <c r="C279" s="15">
        <v>832933</v>
      </c>
      <c r="D279" s="16">
        <v>272.3</v>
      </c>
      <c r="E279" s="15">
        <v>3059</v>
      </c>
      <c r="F279" s="16">
        <v>1.08</v>
      </c>
      <c r="G279" s="3">
        <f t="shared" si="9"/>
        <v>1.295432921027593</v>
      </c>
    </row>
    <row r="280" spans="1:7" ht="15.75" thickBot="1" x14ac:dyDescent="0.3">
      <c r="A280" s="11" t="s">
        <v>492</v>
      </c>
      <c r="B280" s="13" t="s">
        <v>493</v>
      </c>
      <c r="C280" s="12">
        <v>133877</v>
      </c>
      <c r="D280" s="13">
        <v>18.399999999999999</v>
      </c>
      <c r="E280" s="12">
        <v>7287</v>
      </c>
      <c r="F280" s="13">
        <v>2.58</v>
      </c>
      <c r="G280" s="3">
        <f t="shared" si="9"/>
        <v>8.7535680304471924E-2</v>
      </c>
    </row>
    <row r="281" spans="1:7" ht="15.75" thickBot="1" x14ac:dyDescent="0.3">
      <c r="A281" s="14" t="s">
        <v>494</v>
      </c>
      <c r="B281" s="16" t="s">
        <v>495</v>
      </c>
      <c r="C281" s="15">
        <v>713453</v>
      </c>
      <c r="D281" s="16">
        <v>84.4</v>
      </c>
      <c r="E281" s="15">
        <v>8456</v>
      </c>
      <c r="F281" s="16">
        <v>2.99</v>
      </c>
      <c r="G281" s="3">
        <f t="shared" si="9"/>
        <v>0.40152235965746913</v>
      </c>
    </row>
    <row r="282" spans="1:7" ht="15.75" thickBot="1" x14ac:dyDescent="0.3">
      <c r="A282" s="11" t="s">
        <v>496</v>
      </c>
      <c r="B282" s="13" t="s">
        <v>497</v>
      </c>
      <c r="C282" s="12">
        <v>2603316</v>
      </c>
      <c r="D282" s="28">
        <v>1067.2</v>
      </c>
      <c r="E282" s="12">
        <v>2440</v>
      </c>
      <c r="F282" s="13">
        <v>0.86</v>
      </c>
      <c r="G282" s="3">
        <f t="shared" si="9"/>
        <v>5.0770694576593725</v>
      </c>
    </row>
    <row r="283" spans="1:7" ht="15.75" thickBot="1" x14ac:dyDescent="0.3">
      <c r="A283" s="14" t="s">
        <v>498</v>
      </c>
      <c r="B283" s="16" t="s">
        <v>499</v>
      </c>
      <c r="C283" s="15">
        <v>519361</v>
      </c>
      <c r="D283" s="16">
        <v>139.69999999999999</v>
      </c>
      <c r="E283" s="15">
        <v>3719</v>
      </c>
      <c r="F283" s="16">
        <v>1.32</v>
      </c>
      <c r="G283" s="3">
        <f t="shared" si="9"/>
        <v>0.66460513796384391</v>
      </c>
    </row>
    <row r="284" spans="1:7" ht="15.75" thickBot="1" x14ac:dyDescent="0.3">
      <c r="A284" s="11" t="s">
        <v>500</v>
      </c>
      <c r="B284" s="13" t="s">
        <v>501</v>
      </c>
      <c r="C284" s="12">
        <v>1153670</v>
      </c>
      <c r="D284" s="28">
        <v>1082.5</v>
      </c>
      <c r="E284" s="12">
        <v>1066</v>
      </c>
      <c r="F284" s="13">
        <v>0.38</v>
      </c>
      <c r="G284" s="3">
        <f t="shared" si="9"/>
        <v>5.1498572787821129</v>
      </c>
    </row>
    <row r="285" spans="1:7" ht="15.75" thickBot="1" x14ac:dyDescent="0.3">
      <c r="A285" s="14" t="s">
        <v>502</v>
      </c>
      <c r="B285" s="16" t="s">
        <v>503</v>
      </c>
      <c r="C285" s="15">
        <v>163099</v>
      </c>
      <c r="D285" s="16">
        <v>28.8</v>
      </c>
      <c r="E285" s="15">
        <v>5663</v>
      </c>
      <c r="F285" s="16">
        <v>2</v>
      </c>
      <c r="G285" s="3">
        <f t="shared" si="9"/>
        <v>0.13701236917221696</v>
      </c>
    </row>
    <row r="286" spans="1:7" ht="15.75" thickBot="1" x14ac:dyDescent="0.3">
      <c r="A286" s="11" t="s">
        <v>504</v>
      </c>
      <c r="B286" s="13" t="s">
        <v>505</v>
      </c>
      <c r="C286" s="12">
        <v>963655</v>
      </c>
      <c r="D286" s="13">
        <v>87.2</v>
      </c>
      <c r="E286" s="12">
        <v>11053</v>
      </c>
      <c r="F286" s="13">
        <v>3.91</v>
      </c>
      <c r="G286" s="3">
        <f t="shared" si="9"/>
        <v>0.41484300666032353</v>
      </c>
    </row>
    <row r="289" spans="1:8" s="4" customFormat="1" ht="36" x14ac:dyDescent="0.55000000000000004">
      <c r="A289" s="7" t="s">
        <v>653</v>
      </c>
      <c r="D289" s="5"/>
    </row>
    <row r="290" spans="1:8" ht="15.75" thickBot="1" x14ac:dyDescent="0.3">
      <c r="A290" t="s">
        <v>0</v>
      </c>
      <c r="B290" t="s">
        <v>1</v>
      </c>
      <c r="C290" s="1" t="s">
        <v>2</v>
      </c>
      <c r="D290" s="1" t="s">
        <v>3</v>
      </c>
      <c r="E290" t="s">
        <v>205</v>
      </c>
      <c r="F290" t="s">
        <v>206</v>
      </c>
      <c r="G290" t="s">
        <v>652</v>
      </c>
      <c r="H290" t="s">
        <v>651</v>
      </c>
    </row>
    <row r="291" spans="1:8" ht="15.75" thickBot="1" x14ac:dyDescent="0.3">
      <c r="A291" s="8" t="s">
        <v>508</v>
      </c>
      <c r="B291" s="10" t="s">
        <v>509</v>
      </c>
      <c r="C291" s="9">
        <v>669338</v>
      </c>
      <c r="D291" s="9">
        <v>1320</v>
      </c>
      <c r="E291" s="10">
        <v>507</v>
      </c>
      <c r="F291" s="10">
        <v>0.18</v>
      </c>
      <c r="G291" s="3">
        <f>SUM(D291/$D$291)</f>
        <v>1</v>
      </c>
      <c r="H291" s="10">
        <v>1.62</v>
      </c>
    </row>
    <row r="292" spans="1:8" ht="15.75" thickBot="1" x14ac:dyDescent="0.3">
      <c r="A292" s="11" t="s">
        <v>510</v>
      </c>
      <c r="B292" s="13" t="s">
        <v>511</v>
      </c>
      <c r="C292" s="12">
        <v>911403</v>
      </c>
      <c r="D292" s="12">
        <v>1800</v>
      </c>
      <c r="E292" s="13">
        <v>507</v>
      </c>
      <c r="F292" s="13">
        <v>0.18</v>
      </c>
      <c r="G292" s="3">
        <f t="shared" ref="G292:G355" si="10">SUM(D292/$D$291)</f>
        <v>1.3636363636363635</v>
      </c>
      <c r="H292" s="13">
        <v>1.62</v>
      </c>
    </row>
    <row r="293" spans="1:8" ht="15.75" thickBot="1" x14ac:dyDescent="0.3">
      <c r="A293" s="14" t="s">
        <v>512</v>
      </c>
      <c r="B293" s="16" t="s">
        <v>513</v>
      </c>
      <c r="C293" s="15">
        <v>808666</v>
      </c>
      <c r="D293" s="15">
        <v>1300</v>
      </c>
      <c r="E293" s="16">
        <v>626</v>
      </c>
      <c r="F293" s="16">
        <v>0.22</v>
      </c>
      <c r="G293" s="3">
        <f t="shared" si="10"/>
        <v>0.98484848484848486</v>
      </c>
      <c r="H293" s="16">
        <v>2</v>
      </c>
    </row>
    <row r="294" spans="1:8" ht="15.75" thickBot="1" x14ac:dyDescent="0.3">
      <c r="A294" s="11" t="s">
        <v>514</v>
      </c>
      <c r="B294" s="13" t="s">
        <v>515</v>
      </c>
      <c r="C294" s="12">
        <v>852523</v>
      </c>
      <c r="D294" s="13">
        <v>620</v>
      </c>
      <c r="E294" s="12">
        <v>1376</v>
      </c>
      <c r="F294" s="13">
        <v>0.51</v>
      </c>
      <c r="G294" s="3">
        <f t="shared" si="10"/>
        <v>0.46969696969696972</v>
      </c>
      <c r="H294" s="13">
        <v>4.3899999999999997</v>
      </c>
    </row>
    <row r="295" spans="1:8" ht="15.75" thickBot="1" x14ac:dyDescent="0.3">
      <c r="A295" s="14" t="s">
        <v>516</v>
      </c>
      <c r="B295" s="16" t="s">
        <v>517</v>
      </c>
      <c r="C295" s="15">
        <v>1054600</v>
      </c>
      <c r="D295" s="15">
        <v>1000</v>
      </c>
      <c r="E295" s="15">
        <v>1054</v>
      </c>
      <c r="F295" s="16">
        <v>0.39</v>
      </c>
      <c r="G295" s="3">
        <f t="shared" si="10"/>
        <v>0.75757575757575757</v>
      </c>
      <c r="H295" s="16">
        <v>3.36</v>
      </c>
    </row>
    <row r="296" spans="1:8" ht="15.75" thickBot="1" x14ac:dyDescent="0.3">
      <c r="A296" s="11" t="s">
        <v>518</v>
      </c>
      <c r="B296" s="13" t="s">
        <v>519</v>
      </c>
      <c r="C296" s="12">
        <v>568210</v>
      </c>
      <c r="D296" s="13">
        <v>350</v>
      </c>
      <c r="E296" s="12">
        <v>1610</v>
      </c>
      <c r="F296" s="13">
        <v>0.6</v>
      </c>
      <c r="G296" s="3">
        <f t="shared" si="10"/>
        <v>0.26515151515151514</v>
      </c>
      <c r="H296" s="13">
        <v>5.13</v>
      </c>
    </row>
    <row r="297" spans="1:8" ht="15.75" thickBot="1" x14ac:dyDescent="0.3">
      <c r="A297" s="14" t="s">
        <v>520</v>
      </c>
      <c r="B297" s="16" t="s">
        <v>5</v>
      </c>
      <c r="C297" s="15">
        <v>499900</v>
      </c>
      <c r="D297" s="16">
        <v>220</v>
      </c>
      <c r="E297" s="15">
        <v>2254</v>
      </c>
      <c r="F297" s="16">
        <v>0.85</v>
      </c>
      <c r="G297" s="3">
        <f t="shared" si="10"/>
        <v>0.16666666666666666</v>
      </c>
      <c r="H297" s="16">
        <v>7.18</v>
      </c>
    </row>
    <row r="298" spans="1:8" ht="15.75" thickBot="1" x14ac:dyDescent="0.3">
      <c r="A298" s="11" t="s">
        <v>521</v>
      </c>
      <c r="B298" s="13" t="s">
        <v>522</v>
      </c>
      <c r="C298" s="12">
        <v>1053316</v>
      </c>
      <c r="D298" s="12">
        <v>1000</v>
      </c>
      <c r="E298" s="12">
        <v>1053</v>
      </c>
      <c r="F298" s="13">
        <v>0.39</v>
      </c>
      <c r="G298" s="3">
        <f t="shared" si="10"/>
        <v>0.75757575757575757</v>
      </c>
      <c r="H298" s="13">
        <v>3.36</v>
      </c>
    </row>
    <row r="299" spans="1:8" ht="15.75" thickBot="1" x14ac:dyDescent="0.3">
      <c r="A299" s="14" t="s">
        <v>523</v>
      </c>
      <c r="B299" s="16" t="s">
        <v>524</v>
      </c>
      <c r="C299" s="15">
        <v>1201700</v>
      </c>
      <c r="D299" s="16">
        <v>440</v>
      </c>
      <c r="E299" s="15">
        <v>2590</v>
      </c>
      <c r="F299" s="16">
        <v>0.98</v>
      </c>
      <c r="G299" s="3">
        <f t="shared" si="10"/>
        <v>0.33333333333333331</v>
      </c>
      <c r="H299" s="16">
        <v>8.26</v>
      </c>
    </row>
    <row r="300" spans="1:8" ht="15.75" thickBot="1" x14ac:dyDescent="0.3">
      <c r="A300" s="11" t="s">
        <v>525</v>
      </c>
      <c r="B300" s="13" t="s">
        <v>526</v>
      </c>
      <c r="C300" s="12">
        <v>772268</v>
      </c>
      <c r="D300" s="13">
        <v>690</v>
      </c>
      <c r="E300" s="12">
        <v>1119</v>
      </c>
      <c r="F300" s="13">
        <v>0.42</v>
      </c>
      <c r="G300" s="3">
        <f t="shared" si="10"/>
        <v>0.52272727272727271</v>
      </c>
      <c r="H300" s="13">
        <v>3.57</v>
      </c>
    </row>
    <row r="301" spans="1:8" ht="15.75" thickBot="1" x14ac:dyDescent="0.3">
      <c r="A301" s="14" t="s">
        <v>527</v>
      </c>
      <c r="B301" s="16" t="s">
        <v>528</v>
      </c>
      <c r="C301" s="15">
        <v>866846</v>
      </c>
      <c r="D301" s="16">
        <v>900</v>
      </c>
      <c r="E301" s="16">
        <v>963</v>
      </c>
      <c r="F301" s="16">
        <v>0.36</v>
      </c>
      <c r="G301" s="3">
        <f t="shared" si="10"/>
        <v>0.68181818181818177</v>
      </c>
      <c r="H301" s="16">
        <v>3.07</v>
      </c>
    </row>
    <row r="302" spans="1:8" ht="30.75" thickBot="1" x14ac:dyDescent="0.3">
      <c r="A302" s="11" t="s">
        <v>529</v>
      </c>
      <c r="B302" s="13" t="s">
        <v>530</v>
      </c>
      <c r="C302" s="12">
        <v>1832752</v>
      </c>
      <c r="D302" s="12">
        <v>1280</v>
      </c>
      <c r="E302" s="12">
        <v>1432</v>
      </c>
      <c r="F302" s="13">
        <v>0.54</v>
      </c>
      <c r="G302" s="3">
        <f t="shared" si="10"/>
        <v>0.96969696969696972</v>
      </c>
      <c r="H302" s="13">
        <v>4.57</v>
      </c>
    </row>
    <row r="303" spans="1:8" ht="15.75" thickBot="1" x14ac:dyDescent="0.3">
      <c r="A303" s="14" t="s">
        <v>531</v>
      </c>
      <c r="B303" s="16" t="s">
        <v>532</v>
      </c>
      <c r="C303" s="15">
        <v>915800</v>
      </c>
      <c r="D303" s="16">
        <v>750</v>
      </c>
      <c r="E303" s="15">
        <v>1221</v>
      </c>
      <c r="F303" s="16">
        <v>0.46</v>
      </c>
      <c r="G303" s="3">
        <f t="shared" si="10"/>
        <v>0.56818181818181823</v>
      </c>
      <c r="H303" s="16">
        <v>3.89</v>
      </c>
    </row>
    <row r="304" spans="1:8" ht="30.75" thickBot="1" x14ac:dyDescent="0.3">
      <c r="A304" s="11" t="s">
        <v>533</v>
      </c>
      <c r="B304" s="13" t="s">
        <v>534</v>
      </c>
      <c r="C304" s="12">
        <v>1844800</v>
      </c>
      <c r="D304" s="12">
        <v>1080</v>
      </c>
      <c r="E304" s="12">
        <v>1708</v>
      </c>
      <c r="F304" s="13">
        <v>0.65</v>
      </c>
      <c r="G304" s="3">
        <f t="shared" si="10"/>
        <v>0.81818181818181823</v>
      </c>
      <c r="H304" s="13">
        <v>5.46</v>
      </c>
    </row>
    <row r="305" spans="1:8" ht="15.75" thickBot="1" x14ac:dyDescent="0.3">
      <c r="A305" s="14" t="s">
        <v>535</v>
      </c>
      <c r="B305" s="16" t="s">
        <v>536</v>
      </c>
      <c r="C305" s="15">
        <v>192107</v>
      </c>
      <c r="D305" s="16">
        <v>230</v>
      </c>
      <c r="E305" s="16">
        <v>837</v>
      </c>
      <c r="F305" s="16">
        <v>0.31</v>
      </c>
      <c r="G305" s="3">
        <f t="shared" si="10"/>
        <v>0.17424242424242425</v>
      </c>
      <c r="H305" s="16">
        <v>2.67</v>
      </c>
    </row>
    <row r="306" spans="1:8" ht="30.75" thickBot="1" x14ac:dyDescent="0.3">
      <c r="A306" s="11" t="s">
        <v>537</v>
      </c>
      <c r="B306" s="13" t="s">
        <v>538</v>
      </c>
      <c r="C306" s="12">
        <v>1195542</v>
      </c>
      <c r="D306" s="12">
        <v>1900</v>
      </c>
      <c r="E306" s="13">
        <v>629</v>
      </c>
      <c r="F306" s="13">
        <v>0.23</v>
      </c>
      <c r="G306" s="3">
        <f t="shared" si="10"/>
        <v>1.4393939393939394</v>
      </c>
      <c r="H306" s="13">
        <v>2.0099999999999998</v>
      </c>
    </row>
    <row r="307" spans="1:8" ht="15.75" thickBot="1" x14ac:dyDescent="0.3">
      <c r="A307" s="14" t="s">
        <v>539</v>
      </c>
      <c r="B307" s="16" t="s">
        <v>540</v>
      </c>
      <c r="C307" s="15">
        <v>180400</v>
      </c>
      <c r="D307" s="16">
        <v>390</v>
      </c>
      <c r="E307" s="16">
        <v>462</v>
      </c>
      <c r="F307" s="16">
        <v>0.16</v>
      </c>
      <c r="G307" s="3">
        <f t="shared" si="10"/>
        <v>0.29545454545454547</v>
      </c>
      <c r="H307" s="16">
        <v>1.48</v>
      </c>
    </row>
    <row r="308" spans="1:8" ht="30.75" thickBot="1" x14ac:dyDescent="0.3">
      <c r="A308" s="11" t="s">
        <v>541</v>
      </c>
      <c r="B308" s="13" t="s">
        <v>542</v>
      </c>
      <c r="C308" s="12">
        <v>1860200</v>
      </c>
      <c r="D308" s="12">
        <v>1200</v>
      </c>
      <c r="E308" s="12">
        <v>1550</v>
      </c>
      <c r="F308" s="13">
        <v>0.56000000000000005</v>
      </c>
      <c r="G308" s="3">
        <f t="shared" si="10"/>
        <v>0.90909090909090906</v>
      </c>
      <c r="H308" s="13">
        <v>4.95</v>
      </c>
    </row>
    <row r="309" spans="1:8" ht="30.75" thickBot="1" x14ac:dyDescent="0.3">
      <c r="A309" s="14" t="s">
        <v>543</v>
      </c>
      <c r="B309" s="16" t="s">
        <v>544</v>
      </c>
      <c r="C309" s="15">
        <v>1498300</v>
      </c>
      <c r="D309" s="15">
        <v>1300</v>
      </c>
      <c r="E309" s="15">
        <v>1152</v>
      </c>
      <c r="F309" s="16">
        <v>0.42</v>
      </c>
      <c r="G309" s="3">
        <f t="shared" si="10"/>
        <v>0.98484848484848486</v>
      </c>
      <c r="H309" s="16">
        <v>3.68</v>
      </c>
    </row>
    <row r="310" spans="1:8" ht="15.75" thickBot="1" x14ac:dyDescent="0.3">
      <c r="A310" s="11" t="s">
        <v>545</v>
      </c>
      <c r="B310" s="13" t="s">
        <v>546</v>
      </c>
      <c r="C310" s="12">
        <v>712300</v>
      </c>
      <c r="D310" s="12">
        <v>1000</v>
      </c>
      <c r="E310" s="13">
        <v>712</v>
      </c>
      <c r="F310" s="13">
        <v>0.26</v>
      </c>
      <c r="G310" s="3">
        <f t="shared" si="10"/>
        <v>0.75757575757575757</v>
      </c>
      <c r="H310" s="13">
        <v>2.27</v>
      </c>
    </row>
    <row r="311" spans="1:8" ht="15.75" thickBot="1" x14ac:dyDescent="0.3">
      <c r="A311" s="14" t="s">
        <v>547</v>
      </c>
      <c r="B311" s="16" t="s">
        <v>548</v>
      </c>
      <c r="C311" s="15">
        <v>1093100</v>
      </c>
      <c r="D311" s="16">
        <v>370</v>
      </c>
      <c r="E311" s="15">
        <v>2956</v>
      </c>
      <c r="F311" s="16">
        <v>1.1200000000000001</v>
      </c>
      <c r="G311" s="3">
        <f t="shared" si="10"/>
        <v>0.28030303030303028</v>
      </c>
      <c r="H311" s="16">
        <v>9.43</v>
      </c>
    </row>
    <row r="312" spans="1:8" ht="30.75" thickBot="1" x14ac:dyDescent="0.3">
      <c r="A312" s="11" t="s">
        <v>549</v>
      </c>
      <c r="B312" s="13" t="s">
        <v>550</v>
      </c>
      <c r="C312" s="12">
        <v>8798200</v>
      </c>
      <c r="D312" s="12">
        <v>10900</v>
      </c>
      <c r="E312" s="13">
        <v>808</v>
      </c>
      <c r="F312" s="13">
        <v>0.28999999999999998</v>
      </c>
      <c r="G312" s="3">
        <f t="shared" si="10"/>
        <v>8.2575757575757578</v>
      </c>
      <c r="H312" s="13">
        <v>2.58</v>
      </c>
    </row>
    <row r="313" spans="1:8" ht="30.75" thickBot="1" x14ac:dyDescent="0.3">
      <c r="A313" s="14" t="s">
        <v>551</v>
      </c>
      <c r="B313" s="16" t="s">
        <v>552</v>
      </c>
      <c r="C313" s="15">
        <v>2919300</v>
      </c>
      <c r="D313" s="15">
        <v>6000</v>
      </c>
      <c r="E313" s="16">
        <v>487</v>
      </c>
      <c r="F313" s="16">
        <v>0.17</v>
      </c>
      <c r="G313" s="3">
        <f t="shared" si="10"/>
        <v>4.5454545454545459</v>
      </c>
      <c r="H313" s="16">
        <v>1.55</v>
      </c>
    </row>
    <row r="314" spans="1:8" ht="15.75" thickBot="1" x14ac:dyDescent="0.3">
      <c r="A314" s="11" t="s">
        <v>553</v>
      </c>
      <c r="B314" s="13" t="s">
        <v>554</v>
      </c>
      <c r="C314" s="12">
        <v>505400</v>
      </c>
      <c r="D314" s="13">
        <v>530</v>
      </c>
      <c r="E314" s="13">
        <v>954</v>
      </c>
      <c r="F314" s="13">
        <v>0.36</v>
      </c>
      <c r="G314" s="3">
        <f t="shared" si="10"/>
        <v>0.40151515151515149</v>
      </c>
      <c r="H314" s="13">
        <v>3.04</v>
      </c>
    </row>
    <row r="315" spans="1:8" ht="15.75" thickBot="1" x14ac:dyDescent="0.3">
      <c r="A315" s="14" t="s">
        <v>555</v>
      </c>
      <c r="B315" s="16" t="s">
        <v>556</v>
      </c>
      <c r="C315" s="15">
        <v>916200</v>
      </c>
      <c r="D315" s="16">
        <v>370</v>
      </c>
      <c r="E315" s="15">
        <v>2476</v>
      </c>
      <c r="F315" s="16">
        <v>0.94</v>
      </c>
      <c r="G315" s="3">
        <f t="shared" si="10"/>
        <v>0.28030303030303028</v>
      </c>
      <c r="H315" s="16">
        <v>7.9</v>
      </c>
    </row>
    <row r="316" spans="1:8" ht="30.75" thickBot="1" x14ac:dyDescent="0.3">
      <c r="A316" s="11" t="s">
        <v>557</v>
      </c>
      <c r="B316" s="13" t="s">
        <v>558</v>
      </c>
      <c r="C316" s="12">
        <v>747600</v>
      </c>
      <c r="D316" s="13">
        <v>690</v>
      </c>
      <c r="E316" s="12">
        <v>1083</v>
      </c>
      <c r="F316" s="13">
        <v>0.41</v>
      </c>
      <c r="G316" s="3">
        <f t="shared" si="10"/>
        <v>0.52272727272727271</v>
      </c>
      <c r="H316" s="13">
        <v>3.45</v>
      </c>
    </row>
    <row r="317" spans="1:8" ht="15.75" thickBot="1" x14ac:dyDescent="0.3">
      <c r="A317" s="14" t="s">
        <v>559</v>
      </c>
      <c r="B317" s="16" t="s">
        <v>153</v>
      </c>
      <c r="C317" s="15">
        <v>320500</v>
      </c>
      <c r="D317" s="16">
        <v>170</v>
      </c>
      <c r="E317" s="15">
        <v>1936</v>
      </c>
      <c r="F317" s="16">
        <v>0.73</v>
      </c>
      <c r="G317" s="3">
        <f t="shared" si="10"/>
        <v>0.12878787878787878</v>
      </c>
      <c r="H317" s="16">
        <v>6.18</v>
      </c>
    </row>
    <row r="318" spans="1:8" ht="15.75" thickBot="1" x14ac:dyDescent="0.3">
      <c r="A318" s="11" t="s">
        <v>560</v>
      </c>
      <c r="B318" s="13" t="s">
        <v>561</v>
      </c>
      <c r="C318" s="12">
        <v>1154195</v>
      </c>
      <c r="D318" s="12">
        <v>1100</v>
      </c>
      <c r="E318" s="12">
        <v>1049</v>
      </c>
      <c r="F318" s="13">
        <v>0.39</v>
      </c>
      <c r="G318" s="3">
        <f t="shared" si="10"/>
        <v>0.83333333333333337</v>
      </c>
      <c r="H318" s="13">
        <v>3.36</v>
      </c>
    </row>
    <row r="319" spans="1:8" ht="15.75" thickBot="1" x14ac:dyDescent="0.3">
      <c r="A319" s="14" t="s">
        <v>562</v>
      </c>
      <c r="B319" s="16" t="s">
        <v>563</v>
      </c>
      <c r="C319" s="15">
        <v>723800</v>
      </c>
      <c r="D319" s="16">
        <v>650</v>
      </c>
      <c r="E319" s="15">
        <v>1113</v>
      </c>
      <c r="F319" s="16">
        <v>0.42</v>
      </c>
      <c r="G319" s="3">
        <f t="shared" si="10"/>
        <v>0.49242424242424243</v>
      </c>
      <c r="H319" s="16">
        <v>3.55</v>
      </c>
    </row>
    <row r="320" spans="1:8" ht="15.75" thickBot="1" x14ac:dyDescent="0.3">
      <c r="A320" s="11" t="s">
        <v>564</v>
      </c>
      <c r="B320" s="13" t="s">
        <v>565</v>
      </c>
      <c r="C320" s="12">
        <v>41049</v>
      </c>
      <c r="D320" s="13">
        <v>290</v>
      </c>
      <c r="E320" s="13">
        <v>147</v>
      </c>
      <c r="F320" s="13">
        <v>0.05</v>
      </c>
      <c r="G320" s="3">
        <f t="shared" si="10"/>
        <v>0.2196969696969697</v>
      </c>
      <c r="H320" s="13">
        <v>0.47</v>
      </c>
    </row>
    <row r="321" spans="1:8" ht="15.75" thickBot="1" x14ac:dyDescent="0.3">
      <c r="A321" s="14" t="s">
        <v>566</v>
      </c>
      <c r="B321" s="16" t="s">
        <v>567</v>
      </c>
      <c r="C321" s="15">
        <v>323136</v>
      </c>
      <c r="D321" s="16">
        <v>290</v>
      </c>
      <c r="E321" s="15">
        <v>1106</v>
      </c>
      <c r="F321" s="16">
        <v>0.42</v>
      </c>
      <c r="G321" s="3">
        <f t="shared" si="10"/>
        <v>0.2196969696969697</v>
      </c>
      <c r="H321" s="16">
        <v>3.53</v>
      </c>
    </row>
    <row r="322" spans="1:8" ht="15.75" thickBot="1" x14ac:dyDescent="0.3">
      <c r="A322" s="11" t="s">
        <v>568</v>
      </c>
      <c r="B322" s="13" t="s">
        <v>569</v>
      </c>
      <c r="C322" s="12">
        <v>965424</v>
      </c>
      <c r="D322" s="13">
        <v>570</v>
      </c>
      <c r="E322" s="12">
        <v>1694</v>
      </c>
      <c r="F322" s="13">
        <v>0.64</v>
      </c>
      <c r="G322" s="3">
        <f t="shared" si="10"/>
        <v>0.43181818181818182</v>
      </c>
      <c r="H322" s="13">
        <v>5.41</v>
      </c>
    </row>
    <row r="323" spans="1:8" ht="30.75" thickBot="1" x14ac:dyDescent="0.3">
      <c r="A323" s="14" t="s">
        <v>570</v>
      </c>
      <c r="B323" s="16" t="s">
        <v>571</v>
      </c>
      <c r="C323" s="15">
        <v>1131052</v>
      </c>
      <c r="D323" s="15">
        <v>1100</v>
      </c>
      <c r="E323" s="15">
        <v>1028</v>
      </c>
      <c r="F323" s="16">
        <v>0.38</v>
      </c>
      <c r="G323" s="3">
        <f t="shared" si="10"/>
        <v>0.83333333333333337</v>
      </c>
      <c r="H323" s="16">
        <v>3.29</v>
      </c>
    </row>
    <row r="324" spans="1:8" ht="15.75" thickBot="1" x14ac:dyDescent="0.3">
      <c r="A324" s="11" t="s">
        <v>572</v>
      </c>
      <c r="B324" s="13" t="s">
        <v>573</v>
      </c>
      <c r="C324" s="12">
        <v>758556</v>
      </c>
      <c r="D324" s="13">
        <v>420</v>
      </c>
      <c r="E324" s="12">
        <v>1807</v>
      </c>
      <c r="F324" s="13">
        <v>0.68</v>
      </c>
      <c r="G324" s="3">
        <f t="shared" si="10"/>
        <v>0.31818181818181818</v>
      </c>
      <c r="H324" s="13">
        <v>5.77</v>
      </c>
    </row>
    <row r="325" spans="1:8" ht="30.75" thickBot="1" x14ac:dyDescent="0.3">
      <c r="A325" s="14" t="s">
        <v>574</v>
      </c>
      <c r="B325" s="16" t="s">
        <v>575</v>
      </c>
      <c r="C325" s="15">
        <v>1202680</v>
      </c>
      <c r="D325" s="15">
        <v>2100</v>
      </c>
      <c r="E325" s="16">
        <v>572</v>
      </c>
      <c r="F325" s="16">
        <v>0.21</v>
      </c>
      <c r="G325" s="3">
        <f t="shared" si="10"/>
        <v>1.5909090909090908</v>
      </c>
      <c r="H325" s="16">
        <v>1.83</v>
      </c>
    </row>
    <row r="326" spans="1:8" ht="30.75" thickBot="1" x14ac:dyDescent="0.3">
      <c r="A326" s="11" t="s">
        <v>576</v>
      </c>
      <c r="B326" s="13" t="s">
        <v>577</v>
      </c>
      <c r="C326" s="12">
        <v>1725500</v>
      </c>
      <c r="D326" s="12">
        <v>1300</v>
      </c>
      <c r="E326" s="12">
        <v>1328</v>
      </c>
      <c r="F326" s="13">
        <v>0.5</v>
      </c>
      <c r="G326" s="3">
        <f t="shared" si="10"/>
        <v>0.98484848484848486</v>
      </c>
      <c r="H326" s="13">
        <v>4.24</v>
      </c>
    </row>
    <row r="327" spans="1:8" ht="15.75" thickBot="1" x14ac:dyDescent="0.3">
      <c r="A327" s="14" t="s">
        <v>578</v>
      </c>
      <c r="B327" s="16" t="s">
        <v>579</v>
      </c>
      <c r="C327" s="15">
        <v>617869</v>
      </c>
      <c r="D327" s="16">
        <v>800</v>
      </c>
      <c r="E327" s="16">
        <v>772</v>
      </c>
      <c r="F327" s="16">
        <v>0.28999999999999998</v>
      </c>
      <c r="G327" s="3">
        <f t="shared" si="10"/>
        <v>0.60606060606060608</v>
      </c>
      <c r="H327" s="16">
        <v>2.4700000000000002</v>
      </c>
    </row>
    <row r="328" spans="1:8" ht="15.75" thickBot="1" x14ac:dyDescent="0.3">
      <c r="A328" s="11" t="s">
        <v>580</v>
      </c>
      <c r="B328" s="13" t="s">
        <v>105</v>
      </c>
      <c r="C328" s="12">
        <v>227191</v>
      </c>
      <c r="D328" s="13">
        <v>150</v>
      </c>
      <c r="E328" s="12">
        <v>1514</v>
      </c>
      <c r="F328" s="13">
        <v>0.56999999999999995</v>
      </c>
      <c r="G328" s="3">
        <f t="shared" si="10"/>
        <v>0.11363636363636363</v>
      </c>
      <c r="H328" s="13">
        <v>4.84</v>
      </c>
    </row>
    <row r="329" spans="1:8" ht="15.75" thickBot="1" x14ac:dyDescent="0.3">
      <c r="A329" s="14" t="s">
        <v>581</v>
      </c>
      <c r="B329" s="16" t="s">
        <v>582</v>
      </c>
      <c r="C329" s="15">
        <v>720060</v>
      </c>
      <c r="D329" s="16">
        <v>460</v>
      </c>
      <c r="E329" s="15">
        <v>1568</v>
      </c>
      <c r="F329" s="16">
        <v>0.6</v>
      </c>
      <c r="G329" s="3">
        <f t="shared" si="10"/>
        <v>0.34848484848484851</v>
      </c>
      <c r="H329" s="16">
        <v>5.01</v>
      </c>
    </row>
    <row r="330" spans="1:8" ht="15.75" thickBot="1" x14ac:dyDescent="0.3">
      <c r="A330" s="11" t="s">
        <v>583</v>
      </c>
      <c r="B330" s="13" t="s">
        <v>584</v>
      </c>
      <c r="C330" s="12">
        <v>597229</v>
      </c>
      <c r="D330" s="13">
        <v>890</v>
      </c>
      <c r="E330" s="13">
        <v>671</v>
      </c>
      <c r="F330" s="13">
        <v>0.24</v>
      </c>
      <c r="G330" s="3">
        <f t="shared" si="10"/>
        <v>0.6742424242424242</v>
      </c>
      <c r="H330" s="13">
        <v>2.14</v>
      </c>
    </row>
    <row r="331" spans="1:8" ht="30.75" thickBot="1" x14ac:dyDescent="0.3">
      <c r="A331" s="14" t="s">
        <v>585</v>
      </c>
      <c r="B331" s="16" t="s">
        <v>586</v>
      </c>
      <c r="C331" s="15">
        <v>595820</v>
      </c>
      <c r="D331" s="16">
        <v>420</v>
      </c>
      <c r="E331" s="15">
        <v>1417</v>
      </c>
      <c r="F331" s="16">
        <v>0.52</v>
      </c>
      <c r="G331" s="3">
        <f t="shared" si="10"/>
        <v>0.31818181818181818</v>
      </c>
      <c r="H331" s="16">
        <v>4.53</v>
      </c>
    </row>
    <row r="332" spans="1:8" ht="30.75" thickBot="1" x14ac:dyDescent="0.3">
      <c r="A332" s="11" t="s">
        <v>587</v>
      </c>
      <c r="B332" s="13" t="s">
        <v>588</v>
      </c>
      <c r="C332" s="12">
        <v>802554</v>
      </c>
      <c r="D332" s="13">
        <v>220</v>
      </c>
      <c r="E332" s="12">
        <v>3648</v>
      </c>
      <c r="F332" s="13">
        <v>1.39</v>
      </c>
      <c r="G332" s="3">
        <f t="shared" si="10"/>
        <v>0.16666666666666666</v>
      </c>
      <c r="H332" s="13">
        <v>11.66</v>
      </c>
    </row>
    <row r="333" spans="1:8" ht="30.75" thickBot="1" x14ac:dyDescent="0.3">
      <c r="A333" s="14" t="s">
        <v>589</v>
      </c>
      <c r="B333" s="16" t="s">
        <v>590</v>
      </c>
      <c r="C333" s="15">
        <v>2142400</v>
      </c>
      <c r="D333" s="15">
        <v>1200</v>
      </c>
      <c r="E333" s="15">
        <v>1785</v>
      </c>
      <c r="F333" s="16">
        <v>0.67</v>
      </c>
      <c r="G333" s="3">
        <f t="shared" si="10"/>
        <v>0.90909090909090906</v>
      </c>
      <c r="H333" s="16">
        <v>5.7</v>
      </c>
    </row>
    <row r="334" spans="1:8" ht="15.75" thickBot="1" x14ac:dyDescent="0.3">
      <c r="A334" s="11" t="s">
        <v>591</v>
      </c>
      <c r="B334" s="13" t="s">
        <v>592</v>
      </c>
      <c r="C334" s="12">
        <v>69751</v>
      </c>
      <c r="D334" s="13">
        <v>360</v>
      </c>
      <c r="E334" s="13">
        <v>193</v>
      </c>
      <c r="F334" s="13">
        <v>7.0000000000000007E-2</v>
      </c>
      <c r="G334" s="3">
        <f t="shared" si="10"/>
        <v>0.27272727272727271</v>
      </c>
      <c r="H334" s="13">
        <v>0.62</v>
      </c>
    </row>
    <row r="335" spans="1:8" ht="15.75" thickBot="1" x14ac:dyDescent="0.3">
      <c r="A335" s="14" t="s">
        <v>593</v>
      </c>
      <c r="B335" s="16" t="s">
        <v>594</v>
      </c>
      <c r="C335" s="15">
        <v>43376</v>
      </c>
      <c r="D335" s="16">
        <v>80</v>
      </c>
      <c r="E335" s="16">
        <v>525</v>
      </c>
      <c r="F335" s="16">
        <v>0.2</v>
      </c>
      <c r="G335" s="3">
        <f t="shared" si="10"/>
        <v>6.0606060606060608E-2</v>
      </c>
      <c r="H335" s="16">
        <v>1.68</v>
      </c>
    </row>
    <row r="336" spans="1:8" ht="15.75" thickBot="1" x14ac:dyDescent="0.3">
      <c r="A336" s="11" t="s">
        <v>595</v>
      </c>
      <c r="B336" s="13" t="s">
        <v>592</v>
      </c>
      <c r="C336" s="12">
        <v>122000</v>
      </c>
      <c r="D336" s="13">
        <v>260</v>
      </c>
      <c r="E336" s="13">
        <v>469</v>
      </c>
      <c r="F336" s="13">
        <v>0.17</v>
      </c>
      <c r="G336" s="3">
        <f t="shared" si="10"/>
        <v>0.19696969696969696</v>
      </c>
      <c r="H336" s="13">
        <v>1.5</v>
      </c>
    </row>
    <row r="337" spans="1:8" ht="15.75" thickBot="1" x14ac:dyDescent="0.3">
      <c r="A337" s="14" t="s">
        <v>596</v>
      </c>
      <c r="B337" s="16" t="s">
        <v>597</v>
      </c>
      <c r="C337" s="15">
        <v>74011</v>
      </c>
      <c r="D337" s="16">
        <v>130</v>
      </c>
      <c r="E337" s="16">
        <v>566</v>
      </c>
      <c r="F337" s="16">
        <v>0.21</v>
      </c>
      <c r="G337" s="3">
        <f t="shared" si="10"/>
        <v>9.8484848484848481E-2</v>
      </c>
      <c r="H337" s="16">
        <v>1.81</v>
      </c>
    </row>
    <row r="338" spans="1:8" ht="15.75" thickBot="1" x14ac:dyDescent="0.3">
      <c r="A338" s="11" t="s">
        <v>598</v>
      </c>
      <c r="B338" s="13" t="s">
        <v>599</v>
      </c>
      <c r="C338" s="12">
        <v>185615</v>
      </c>
      <c r="D338" s="13">
        <v>170</v>
      </c>
      <c r="E338" s="12">
        <v>1092</v>
      </c>
      <c r="F338" s="13">
        <v>0.4</v>
      </c>
      <c r="G338" s="3">
        <f t="shared" si="10"/>
        <v>0.12878787878787878</v>
      </c>
      <c r="H338" s="13">
        <v>3.49</v>
      </c>
    </row>
    <row r="339" spans="1:8" ht="15.75" thickBot="1" x14ac:dyDescent="0.3">
      <c r="A339" s="14" t="s">
        <v>600</v>
      </c>
      <c r="B339" s="16" t="s">
        <v>592</v>
      </c>
      <c r="C339" s="15">
        <v>183800</v>
      </c>
      <c r="D339" s="16">
        <v>210</v>
      </c>
      <c r="E339" s="16">
        <v>875</v>
      </c>
      <c r="F339" s="16">
        <v>0.32</v>
      </c>
      <c r="G339" s="3">
        <f t="shared" si="10"/>
        <v>0.15909090909090909</v>
      </c>
      <c r="H339" s="16">
        <v>2.8</v>
      </c>
    </row>
    <row r="340" spans="1:8" ht="15.75" thickBot="1" x14ac:dyDescent="0.3">
      <c r="A340" s="11" t="s">
        <v>601</v>
      </c>
      <c r="B340" s="13" t="s">
        <v>602</v>
      </c>
      <c r="C340" s="12">
        <v>155100</v>
      </c>
      <c r="D340" s="13">
        <v>720</v>
      </c>
      <c r="E340" s="13">
        <v>215</v>
      </c>
      <c r="F340" s="13">
        <v>0.08</v>
      </c>
      <c r="G340" s="3">
        <f t="shared" si="10"/>
        <v>0.54545454545454541</v>
      </c>
      <c r="H340" s="13">
        <v>0.69</v>
      </c>
    </row>
    <row r="341" spans="1:8" ht="15.75" thickBot="1" x14ac:dyDescent="0.3">
      <c r="A341" s="14" t="s">
        <v>603</v>
      </c>
      <c r="B341" s="16" t="s">
        <v>604</v>
      </c>
      <c r="C341" s="15">
        <v>1317000</v>
      </c>
      <c r="D341" s="15">
        <v>1200</v>
      </c>
      <c r="E341" s="15">
        <v>1098</v>
      </c>
      <c r="F341" s="16">
        <v>0.41</v>
      </c>
      <c r="G341" s="3">
        <f t="shared" si="10"/>
        <v>0.90909090909090906</v>
      </c>
      <c r="H341" s="16">
        <v>3.51</v>
      </c>
    </row>
    <row r="342" spans="1:8" ht="15.75" thickBot="1" x14ac:dyDescent="0.3">
      <c r="A342" s="11" t="s">
        <v>605</v>
      </c>
      <c r="B342" s="13" t="s">
        <v>592</v>
      </c>
      <c r="C342" s="12">
        <v>62937</v>
      </c>
      <c r="D342" s="13">
        <v>60</v>
      </c>
      <c r="E342" s="13">
        <v>678</v>
      </c>
      <c r="F342" s="13">
        <v>0.25</v>
      </c>
      <c r="G342" s="3">
        <f t="shared" si="10"/>
        <v>4.5454545454545456E-2</v>
      </c>
      <c r="H342" s="13">
        <v>2.17</v>
      </c>
    </row>
    <row r="343" spans="1:8" ht="30.75" thickBot="1" x14ac:dyDescent="0.3">
      <c r="A343" s="14" t="s">
        <v>606</v>
      </c>
      <c r="B343" s="16" t="s">
        <v>607</v>
      </c>
      <c r="C343" s="15">
        <v>63779</v>
      </c>
      <c r="D343" s="16">
        <v>60</v>
      </c>
      <c r="E343" s="16">
        <v>839</v>
      </c>
      <c r="F343" s="16">
        <v>0.3</v>
      </c>
      <c r="G343" s="3">
        <f t="shared" si="10"/>
        <v>4.5454545454545456E-2</v>
      </c>
      <c r="H343" s="16">
        <v>2.69</v>
      </c>
    </row>
    <row r="344" spans="1:8" ht="15.75" thickBot="1" x14ac:dyDescent="0.3">
      <c r="A344" s="11" t="s">
        <v>608</v>
      </c>
      <c r="B344" s="13" t="s">
        <v>599</v>
      </c>
      <c r="C344" s="12">
        <v>125055</v>
      </c>
      <c r="D344" s="13">
        <v>160</v>
      </c>
      <c r="E344" s="13">
        <v>820</v>
      </c>
      <c r="F344" s="13">
        <v>0.28999999999999998</v>
      </c>
      <c r="G344" s="3">
        <f t="shared" si="10"/>
        <v>0.12121212121212122</v>
      </c>
      <c r="H344" s="13">
        <v>2.63</v>
      </c>
    </row>
    <row r="345" spans="1:8" ht="15.75" thickBot="1" x14ac:dyDescent="0.3">
      <c r="A345" s="14" t="s">
        <v>609</v>
      </c>
      <c r="B345" s="16" t="s">
        <v>594</v>
      </c>
      <c r="C345" s="15">
        <v>25821</v>
      </c>
      <c r="D345" s="16">
        <v>40</v>
      </c>
      <c r="E345" s="16">
        <v>471</v>
      </c>
      <c r="F345" s="16">
        <v>0.16</v>
      </c>
      <c r="G345" s="3">
        <f t="shared" si="10"/>
        <v>3.0303030303030304E-2</v>
      </c>
      <c r="H345" s="16">
        <v>1.51</v>
      </c>
    </row>
    <row r="346" spans="1:8" ht="15.75" thickBot="1" x14ac:dyDescent="0.3">
      <c r="A346" s="11" t="s">
        <v>610</v>
      </c>
      <c r="B346" s="13" t="s">
        <v>611</v>
      </c>
      <c r="C346" s="12">
        <v>36500</v>
      </c>
      <c r="D346" s="13">
        <v>60</v>
      </c>
      <c r="E346" s="13">
        <v>609</v>
      </c>
      <c r="F346" s="13">
        <v>0.23</v>
      </c>
      <c r="G346" s="3">
        <f t="shared" si="10"/>
        <v>4.5454545454545456E-2</v>
      </c>
      <c r="H346" s="13">
        <v>1.95</v>
      </c>
    </row>
    <row r="347" spans="1:8" ht="15.75" thickBot="1" x14ac:dyDescent="0.3">
      <c r="A347" s="14" t="s">
        <v>612</v>
      </c>
      <c r="B347" s="16" t="s">
        <v>613</v>
      </c>
      <c r="C347" s="15">
        <v>21900</v>
      </c>
      <c r="D347" s="16">
        <v>60</v>
      </c>
      <c r="E347" s="16">
        <v>475</v>
      </c>
      <c r="F347" s="16">
        <v>0.18</v>
      </c>
      <c r="G347" s="3">
        <f t="shared" si="10"/>
        <v>4.5454545454545456E-2</v>
      </c>
      <c r="H347" s="16">
        <v>1.52</v>
      </c>
    </row>
    <row r="348" spans="1:8" ht="30.75" thickBot="1" x14ac:dyDescent="0.3">
      <c r="A348" s="11" t="s">
        <v>614</v>
      </c>
      <c r="B348" s="13" t="s">
        <v>615</v>
      </c>
      <c r="C348" s="12">
        <v>51400</v>
      </c>
      <c r="D348" s="12">
        <v>1300</v>
      </c>
      <c r="E348" s="13">
        <v>40</v>
      </c>
      <c r="F348" s="13">
        <v>0.01</v>
      </c>
      <c r="G348" s="3">
        <f t="shared" si="10"/>
        <v>0.98484848484848486</v>
      </c>
      <c r="H348" s="13">
        <v>0.13</v>
      </c>
    </row>
    <row r="349" spans="1:8" ht="15.75" thickBot="1" x14ac:dyDescent="0.3">
      <c r="A349" s="14" t="s">
        <v>616</v>
      </c>
      <c r="B349" s="16" t="s">
        <v>617</v>
      </c>
      <c r="C349" s="15">
        <v>148050</v>
      </c>
      <c r="D349" s="16">
        <v>70</v>
      </c>
      <c r="E349" s="15">
        <v>1614</v>
      </c>
      <c r="F349" s="16">
        <v>0.6</v>
      </c>
      <c r="G349" s="3">
        <f t="shared" si="10"/>
        <v>5.3030303030303032E-2</v>
      </c>
      <c r="H349" s="16">
        <v>5.14</v>
      </c>
    </row>
    <row r="350" spans="1:8" ht="15.75" thickBot="1" x14ac:dyDescent="0.3">
      <c r="A350" s="11" t="s">
        <v>618</v>
      </c>
      <c r="B350" s="13" t="s">
        <v>101</v>
      </c>
      <c r="C350" s="12">
        <v>371910</v>
      </c>
      <c r="D350" s="13">
        <v>760</v>
      </c>
      <c r="E350" s="13">
        <v>491</v>
      </c>
      <c r="F350" s="13">
        <v>0.18</v>
      </c>
      <c r="G350" s="3">
        <f t="shared" si="10"/>
        <v>0.5757575757575758</v>
      </c>
      <c r="H350" s="13">
        <v>1.57</v>
      </c>
    </row>
    <row r="351" spans="1:8" ht="15.75" thickBot="1" x14ac:dyDescent="0.3">
      <c r="A351" s="14" t="s">
        <v>619</v>
      </c>
      <c r="B351" s="16" t="s">
        <v>620</v>
      </c>
      <c r="C351" s="15">
        <v>96006</v>
      </c>
      <c r="D351" s="16">
        <v>30</v>
      </c>
      <c r="E351" s="15">
        <v>3380</v>
      </c>
      <c r="F351" s="16">
        <v>1.29</v>
      </c>
      <c r="G351" s="3">
        <f t="shared" si="10"/>
        <v>2.2727272727272728E-2</v>
      </c>
      <c r="H351" s="16">
        <v>10.78</v>
      </c>
    </row>
    <row r="352" spans="1:8" ht="15.75" thickBot="1" x14ac:dyDescent="0.3">
      <c r="A352" s="11" t="s">
        <v>621</v>
      </c>
      <c r="B352" s="13" t="s">
        <v>611</v>
      </c>
      <c r="C352" s="12">
        <v>31400</v>
      </c>
      <c r="D352" s="13">
        <v>60</v>
      </c>
      <c r="E352" s="13">
        <v>383</v>
      </c>
      <c r="F352" s="13">
        <v>0.15</v>
      </c>
      <c r="G352" s="3">
        <f t="shared" si="10"/>
        <v>4.5454545454545456E-2</v>
      </c>
      <c r="H352" s="13">
        <v>1.22</v>
      </c>
    </row>
    <row r="353" spans="1:8" ht="15.75" thickBot="1" x14ac:dyDescent="0.3">
      <c r="A353" s="14" t="s">
        <v>622</v>
      </c>
      <c r="B353" s="16" t="s">
        <v>101</v>
      </c>
      <c r="C353" s="15">
        <v>13700</v>
      </c>
      <c r="D353" s="16">
        <v>80</v>
      </c>
      <c r="E353" s="16">
        <v>142</v>
      </c>
      <c r="F353" s="16">
        <v>0.05</v>
      </c>
      <c r="G353" s="3">
        <f t="shared" si="10"/>
        <v>6.0606060606060608E-2</v>
      </c>
      <c r="H353" s="16">
        <v>0.45</v>
      </c>
    </row>
    <row r="354" spans="1:8" ht="30.75" thickBot="1" x14ac:dyDescent="0.3">
      <c r="A354" s="11" t="s">
        <v>623</v>
      </c>
      <c r="B354" s="13" t="s">
        <v>617</v>
      </c>
      <c r="C354" s="12">
        <v>24700</v>
      </c>
      <c r="D354" s="13">
        <v>40</v>
      </c>
      <c r="E354" s="13">
        <v>863</v>
      </c>
      <c r="F354" s="13">
        <v>0.33</v>
      </c>
      <c r="G354" s="3">
        <f t="shared" si="10"/>
        <v>3.0303030303030304E-2</v>
      </c>
      <c r="H354" s="13">
        <v>2.76</v>
      </c>
    </row>
    <row r="355" spans="1:8" ht="15.75" thickBot="1" x14ac:dyDescent="0.3">
      <c r="A355" s="14" t="s">
        <v>624</v>
      </c>
      <c r="B355" s="16" t="s">
        <v>625</v>
      </c>
      <c r="C355" s="15">
        <v>1275000</v>
      </c>
      <c r="D355" s="15">
        <v>1000</v>
      </c>
      <c r="E355" s="15">
        <v>1275</v>
      </c>
      <c r="F355" s="16">
        <v>0.47</v>
      </c>
      <c r="G355" s="3">
        <f t="shared" si="10"/>
        <v>0.75757575757575757</v>
      </c>
      <c r="H355" s="16">
        <v>3.98</v>
      </c>
    </row>
    <row r="356" spans="1:8" ht="15.75" thickBot="1" x14ac:dyDescent="0.3">
      <c r="A356" s="11" t="s">
        <v>626</v>
      </c>
      <c r="B356" s="13" t="s">
        <v>627</v>
      </c>
      <c r="C356" s="12">
        <v>546200</v>
      </c>
      <c r="D356" s="12">
        <v>1500</v>
      </c>
      <c r="E356" s="13">
        <v>364</v>
      </c>
      <c r="F356" s="13">
        <v>0.13</v>
      </c>
      <c r="G356" s="3">
        <f t="shared" ref="G356:G372" si="11">SUM(D356/$D$291)</f>
        <v>1.1363636363636365</v>
      </c>
      <c r="H356" s="13">
        <v>1.1399999999999999</v>
      </c>
    </row>
    <row r="357" spans="1:8" ht="15.75" thickBot="1" x14ac:dyDescent="0.3">
      <c r="A357" s="14" t="s">
        <v>628</v>
      </c>
      <c r="B357" s="16" t="s">
        <v>629</v>
      </c>
      <c r="C357" s="15">
        <v>95520</v>
      </c>
      <c r="D357" s="16">
        <v>80</v>
      </c>
      <c r="E357" s="15">
        <v>1194</v>
      </c>
      <c r="F357" s="16">
        <v>0.45</v>
      </c>
      <c r="G357" s="3">
        <f t="shared" si="11"/>
        <v>6.0606060606060608E-2</v>
      </c>
      <c r="H357" s="16">
        <v>3.81</v>
      </c>
    </row>
    <row r="358" spans="1:8" ht="15.75" thickBot="1" x14ac:dyDescent="0.3">
      <c r="A358" s="11" t="s">
        <v>630</v>
      </c>
      <c r="B358" s="13" t="s">
        <v>620</v>
      </c>
      <c r="C358" s="12">
        <v>14900</v>
      </c>
      <c r="D358" s="13">
        <v>80</v>
      </c>
      <c r="E358" s="13">
        <v>174</v>
      </c>
      <c r="F358" s="13">
        <v>7.0000000000000007E-2</v>
      </c>
      <c r="G358" s="3">
        <f t="shared" si="11"/>
        <v>6.0606060606060608E-2</v>
      </c>
      <c r="H358" s="13">
        <v>0.56000000000000005</v>
      </c>
    </row>
    <row r="359" spans="1:8" ht="15.75" thickBot="1" x14ac:dyDescent="0.3">
      <c r="A359" s="14" t="s">
        <v>631</v>
      </c>
      <c r="B359" s="16" t="s">
        <v>632</v>
      </c>
      <c r="C359" s="15">
        <v>22190</v>
      </c>
      <c r="D359" s="16">
        <v>70</v>
      </c>
      <c r="E359" s="16">
        <v>316</v>
      </c>
      <c r="F359" s="16">
        <v>0.12</v>
      </c>
      <c r="G359" s="3">
        <f t="shared" si="11"/>
        <v>5.3030303030303032E-2</v>
      </c>
      <c r="H359" s="16">
        <v>1.01</v>
      </c>
    </row>
    <row r="360" spans="1:8" ht="15.75" thickBot="1" x14ac:dyDescent="0.3">
      <c r="A360" s="11" t="s">
        <v>633</v>
      </c>
      <c r="B360" s="13" t="s">
        <v>627</v>
      </c>
      <c r="C360" s="12">
        <v>14600</v>
      </c>
      <c r="D360" s="13">
        <v>40</v>
      </c>
      <c r="E360" s="13">
        <v>361</v>
      </c>
      <c r="F360" s="13">
        <v>0.14000000000000001</v>
      </c>
      <c r="G360" s="3">
        <f t="shared" si="11"/>
        <v>3.0303030303030304E-2</v>
      </c>
      <c r="H360" s="13">
        <v>1.1499999999999999</v>
      </c>
    </row>
    <row r="361" spans="1:8" ht="15.75" thickBot="1" x14ac:dyDescent="0.3">
      <c r="A361" s="14" t="s">
        <v>634</v>
      </c>
      <c r="B361" s="16" t="s">
        <v>635</v>
      </c>
      <c r="C361" s="15">
        <v>155300</v>
      </c>
      <c r="D361" s="16">
        <v>80</v>
      </c>
      <c r="E361" s="15">
        <v>1927</v>
      </c>
      <c r="F361" s="16">
        <v>0.74</v>
      </c>
      <c r="G361" s="3">
        <f t="shared" si="11"/>
        <v>6.0606060606060608E-2</v>
      </c>
      <c r="H361" s="16">
        <v>6.15</v>
      </c>
    </row>
    <row r="362" spans="1:8" ht="15.75" thickBot="1" x14ac:dyDescent="0.3">
      <c r="A362" s="11" t="s">
        <v>636</v>
      </c>
      <c r="B362" s="13" t="s">
        <v>21</v>
      </c>
      <c r="C362" s="12">
        <v>347500</v>
      </c>
      <c r="D362" s="12">
        <v>1500</v>
      </c>
      <c r="E362" s="13">
        <v>232</v>
      </c>
      <c r="F362" s="13">
        <v>0.09</v>
      </c>
      <c r="G362" s="3">
        <f t="shared" si="11"/>
        <v>1.1363636363636365</v>
      </c>
      <c r="H362" s="13">
        <v>0.74</v>
      </c>
    </row>
    <row r="363" spans="1:8" ht="30.75" thickBot="1" x14ac:dyDescent="0.3">
      <c r="A363" s="14" t="s">
        <v>637</v>
      </c>
      <c r="B363" s="16" t="s">
        <v>620</v>
      </c>
      <c r="C363" s="15">
        <v>53400</v>
      </c>
      <c r="D363" s="16">
        <v>30</v>
      </c>
      <c r="E363" s="15">
        <v>1756</v>
      </c>
      <c r="F363" s="16">
        <v>0.67</v>
      </c>
      <c r="G363" s="3">
        <f t="shared" si="11"/>
        <v>2.2727272727272728E-2</v>
      </c>
      <c r="H363" s="16">
        <v>5.6</v>
      </c>
    </row>
    <row r="364" spans="1:8" ht="15.75" thickBot="1" x14ac:dyDescent="0.3">
      <c r="A364" s="11" t="s">
        <v>638</v>
      </c>
      <c r="B364" s="13" t="s">
        <v>613</v>
      </c>
      <c r="C364" s="12">
        <v>48000</v>
      </c>
      <c r="D364" s="13">
        <v>60</v>
      </c>
      <c r="E364" s="13">
        <v>784</v>
      </c>
      <c r="F364" s="13">
        <v>0.3</v>
      </c>
      <c r="G364" s="3">
        <f t="shared" si="11"/>
        <v>4.5454545454545456E-2</v>
      </c>
      <c r="H364" s="13">
        <v>2.5</v>
      </c>
    </row>
    <row r="365" spans="1:8" ht="15.75" thickBot="1" x14ac:dyDescent="0.3">
      <c r="A365" s="14" t="s">
        <v>639</v>
      </c>
      <c r="B365" s="16" t="s">
        <v>613</v>
      </c>
      <c r="C365" s="15">
        <v>11800</v>
      </c>
      <c r="D365" s="16">
        <v>40</v>
      </c>
      <c r="E365" s="16">
        <v>263</v>
      </c>
      <c r="F365" s="16">
        <v>0.1</v>
      </c>
      <c r="G365" s="3">
        <f t="shared" si="11"/>
        <v>3.0303030303030304E-2</v>
      </c>
      <c r="H365" s="16">
        <v>0.84</v>
      </c>
    </row>
    <row r="366" spans="1:8" ht="15.75" thickBot="1" x14ac:dyDescent="0.3">
      <c r="A366" s="11" t="s">
        <v>640</v>
      </c>
      <c r="B366" s="13" t="s">
        <v>641</v>
      </c>
      <c r="C366" s="12">
        <v>22990</v>
      </c>
      <c r="D366" s="13">
        <v>70</v>
      </c>
      <c r="E366" s="13">
        <v>567</v>
      </c>
      <c r="F366" s="13">
        <v>0.22</v>
      </c>
      <c r="G366" s="3">
        <f t="shared" si="11"/>
        <v>5.3030303030303032E-2</v>
      </c>
      <c r="H366" s="13">
        <v>1.81</v>
      </c>
    </row>
    <row r="367" spans="1:8" ht="15.75" thickBot="1" x14ac:dyDescent="0.3">
      <c r="A367" s="14" t="s">
        <v>642</v>
      </c>
      <c r="B367" s="16" t="s">
        <v>643</v>
      </c>
      <c r="C367" s="15">
        <v>292000</v>
      </c>
      <c r="D367" s="16">
        <v>490</v>
      </c>
      <c r="E367" s="16">
        <v>596</v>
      </c>
      <c r="F367" s="16">
        <v>0.22</v>
      </c>
      <c r="G367" s="3">
        <f t="shared" si="11"/>
        <v>0.37121212121212122</v>
      </c>
      <c r="H367" s="16">
        <v>1.9</v>
      </c>
    </row>
    <row r="368" spans="1:8" ht="15.75" thickBot="1" x14ac:dyDescent="0.3">
      <c r="A368" s="11" t="s">
        <v>644</v>
      </c>
      <c r="B368" s="13" t="s">
        <v>620</v>
      </c>
      <c r="C368" s="12">
        <v>13670</v>
      </c>
      <c r="D368" s="13">
        <v>10</v>
      </c>
      <c r="E368" s="12">
        <v>2028</v>
      </c>
      <c r="F368" s="13">
        <v>0.77</v>
      </c>
      <c r="G368" s="3">
        <f t="shared" si="11"/>
        <v>7.575757575757576E-3</v>
      </c>
      <c r="H368" s="13">
        <v>6.48</v>
      </c>
    </row>
    <row r="369" spans="1:8" ht="15.75" thickBot="1" x14ac:dyDescent="0.3">
      <c r="A369" s="14" t="s">
        <v>645</v>
      </c>
      <c r="B369" s="16" t="s">
        <v>627</v>
      </c>
      <c r="C369" s="15">
        <v>183100</v>
      </c>
      <c r="D369" s="15">
        <v>1200</v>
      </c>
      <c r="E369" s="16">
        <v>153</v>
      </c>
      <c r="F369" s="16">
        <v>0.06</v>
      </c>
      <c r="G369" s="3">
        <f t="shared" si="11"/>
        <v>0.90909090909090906</v>
      </c>
      <c r="H369" s="16">
        <v>0.49</v>
      </c>
    </row>
    <row r="370" spans="1:8" ht="15.75" thickBot="1" x14ac:dyDescent="0.3">
      <c r="A370" s="11" t="s">
        <v>646</v>
      </c>
      <c r="B370" s="13" t="s">
        <v>617</v>
      </c>
      <c r="C370" s="12">
        <v>28840</v>
      </c>
      <c r="D370" s="13">
        <v>50</v>
      </c>
      <c r="E370" s="13">
        <v>490</v>
      </c>
      <c r="F370" s="13">
        <v>0.18</v>
      </c>
      <c r="G370" s="3">
        <f t="shared" si="11"/>
        <v>3.787878787878788E-2</v>
      </c>
      <c r="H370" s="13">
        <v>1.56</v>
      </c>
    </row>
    <row r="371" spans="1:8" ht="15.75" thickBot="1" x14ac:dyDescent="0.3">
      <c r="A371" s="14" t="s">
        <v>647</v>
      </c>
      <c r="B371" s="16" t="s">
        <v>648</v>
      </c>
      <c r="C371" s="15">
        <v>84497</v>
      </c>
      <c r="D371" s="16">
        <v>370</v>
      </c>
      <c r="E371" s="16">
        <v>221</v>
      </c>
      <c r="F371" s="16">
        <v>0.08</v>
      </c>
      <c r="G371" s="3">
        <f t="shared" si="11"/>
        <v>0.28030303030303028</v>
      </c>
      <c r="H371" s="16">
        <v>0.7</v>
      </c>
    </row>
    <row r="372" spans="1:8" ht="15.75" thickBot="1" x14ac:dyDescent="0.3">
      <c r="A372" s="11" t="s">
        <v>649</v>
      </c>
      <c r="B372" s="13" t="s">
        <v>650</v>
      </c>
      <c r="C372" s="12">
        <v>174623</v>
      </c>
      <c r="D372" s="12">
        <v>1350</v>
      </c>
      <c r="E372" s="13">
        <v>129</v>
      </c>
      <c r="F372" s="13">
        <v>0.05</v>
      </c>
      <c r="G372" s="3">
        <f t="shared" si="11"/>
        <v>1.0227272727272727</v>
      </c>
      <c r="H372" s="13">
        <v>0.41</v>
      </c>
    </row>
    <row r="374" spans="1:8" s="4" customFormat="1" ht="31.5" x14ac:dyDescent="0.5">
      <c r="A374" s="30" t="s">
        <v>692</v>
      </c>
      <c r="D374" s="5"/>
    </row>
    <row r="375" spans="1:8" ht="15.75" thickBot="1" x14ac:dyDescent="0.3">
      <c r="A375" t="s">
        <v>0</v>
      </c>
      <c r="B375" t="s">
        <v>1</v>
      </c>
      <c r="C375" s="1" t="s">
        <v>2</v>
      </c>
      <c r="D375" s="1" t="s">
        <v>3</v>
      </c>
      <c r="E375" t="s">
        <v>205</v>
      </c>
      <c r="F375" t="s">
        <v>206</v>
      </c>
      <c r="G375" t="s">
        <v>718</v>
      </c>
      <c r="H375" t="s">
        <v>651</v>
      </c>
    </row>
    <row r="376" spans="1:8" ht="15.75" thickBot="1" x14ac:dyDescent="0.3">
      <c r="A376" s="8" t="s">
        <v>654</v>
      </c>
      <c r="B376" s="10" t="s">
        <v>655</v>
      </c>
      <c r="C376" s="9">
        <v>1280000</v>
      </c>
      <c r="D376" s="10">
        <v>220</v>
      </c>
      <c r="E376" s="9">
        <v>5000</v>
      </c>
      <c r="F376" s="10">
        <v>1.77</v>
      </c>
      <c r="G376" s="22">
        <f>SUM(D376/$D$376)</f>
        <v>1</v>
      </c>
      <c r="H376" s="10">
        <v>15.92</v>
      </c>
    </row>
    <row r="377" spans="1:8" ht="15.75" thickBot="1" x14ac:dyDescent="0.3">
      <c r="A377" s="11" t="s">
        <v>656</v>
      </c>
      <c r="B377" s="13" t="s">
        <v>429</v>
      </c>
      <c r="C377" s="12">
        <v>125000</v>
      </c>
      <c r="D377" s="13">
        <v>38</v>
      </c>
      <c r="E377" s="12">
        <v>3263</v>
      </c>
      <c r="F377" s="13">
        <v>1.1599999999999999</v>
      </c>
      <c r="G377" s="22">
        <f t="shared" ref="G377:G395" si="12">SUM(D377/$D$376)</f>
        <v>0.17272727272727273</v>
      </c>
      <c r="H377" s="13">
        <v>10.39</v>
      </c>
    </row>
    <row r="378" spans="1:8" ht="15.75" thickBot="1" x14ac:dyDescent="0.3">
      <c r="A378" s="14" t="s">
        <v>657</v>
      </c>
      <c r="B378" s="16" t="s">
        <v>658</v>
      </c>
      <c r="C378" s="15">
        <v>4000000</v>
      </c>
      <c r="D378" s="16">
        <v>540</v>
      </c>
      <c r="E378" s="15">
        <v>7400</v>
      </c>
      <c r="F378" s="16">
        <v>2.62</v>
      </c>
      <c r="G378" s="22">
        <f t="shared" si="12"/>
        <v>2.4545454545454546</v>
      </c>
      <c r="H378" s="16">
        <v>23.56</v>
      </c>
    </row>
    <row r="379" spans="1:8" ht="15.75" thickBot="1" x14ac:dyDescent="0.3">
      <c r="A379" s="11" t="s">
        <v>659</v>
      </c>
      <c r="B379" s="13" t="s">
        <v>660</v>
      </c>
      <c r="C379" s="12">
        <v>550000</v>
      </c>
      <c r="D379" s="13">
        <v>110</v>
      </c>
      <c r="E379" s="12">
        <v>3860</v>
      </c>
      <c r="F379" s="13">
        <v>1.36</v>
      </c>
      <c r="G379" s="22">
        <f t="shared" si="12"/>
        <v>0.5</v>
      </c>
      <c r="H379" s="13">
        <v>12.28</v>
      </c>
    </row>
    <row r="380" spans="1:8" ht="15.75" thickBot="1" x14ac:dyDescent="0.3">
      <c r="A380" s="14" t="s">
        <v>661</v>
      </c>
      <c r="B380" s="16" t="s">
        <v>662</v>
      </c>
      <c r="C380" s="15">
        <v>1900000</v>
      </c>
      <c r="D380" s="16">
        <v>320</v>
      </c>
      <c r="E380" s="15">
        <v>5770</v>
      </c>
      <c r="F380" s="16">
        <v>2.04</v>
      </c>
      <c r="G380" s="22">
        <f t="shared" si="12"/>
        <v>1.4545454545454546</v>
      </c>
      <c r="H380" s="16">
        <v>18.37</v>
      </c>
    </row>
    <row r="381" spans="1:8" ht="15.75" thickBot="1" x14ac:dyDescent="0.3">
      <c r="A381" s="11" t="s">
        <v>663</v>
      </c>
      <c r="B381" s="13" t="s">
        <v>664</v>
      </c>
      <c r="C381" s="12">
        <v>5700000</v>
      </c>
      <c r="D381" s="12">
        <v>1170</v>
      </c>
      <c r="E381" s="12">
        <v>4870</v>
      </c>
      <c r="F381" s="13">
        <v>1.72</v>
      </c>
      <c r="G381" s="22">
        <f t="shared" si="12"/>
        <v>5.3181818181818183</v>
      </c>
      <c r="H381" s="13">
        <v>15.5</v>
      </c>
    </row>
    <row r="382" spans="1:8" ht="15.75" thickBot="1" x14ac:dyDescent="0.3">
      <c r="A382" s="14" t="s">
        <v>665</v>
      </c>
      <c r="B382" s="16" t="s">
        <v>666</v>
      </c>
      <c r="C382" s="15">
        <v>4480000</v>
      </c>
      <c r="D382" s="16">
        <v>490</v>
      </c>
      <c r="E382" s="15">
        <v>9030</v>
      </c>
      <c r="F382" s="16">
        <v>3.2</v>
      </c>
      <c r="G382" s="22">
        <f t="shared" si="12"/>
        <v>2.2272727272727271</v>
      </c>
      <c r="H382" s="16">
        <v>28.74</v>
      </c>
    </row>
    <row r="383" spans="1:8" ht="30.75" thickBot="1" x14ac:dyDescent="0.3">
      <c r="A383" s="11" t="s">
        <v>667</v>
      </c>
      <c r="B383" s="13" t="s">
        <v>668</v>
      </c>
      <c r="C383" s="12">
        <v>1200000</v>
      </c>
      <c r="D383" s="13">
        <v>320</v>
      </c>
      <c r="E383" s="12">
        <v>2920</v>
      </c>
      <c r="F383" s="13">
        <v>1.03</v>
      </c>
      <c r="G383" s="22">
        <f t="shared" si="12"/>
        <v>1.4545454545454546</v>
      </c>
      <c r="H383" s="13">
        <v>9.2899999999999991</v>
      </c>
    </row>
    <row r="384" spans="1:8" ht="15.75" thickBot="1" x14ac:dyDescent="0.3">
      <c r="A384" s="14" t="s">
        <v>669</v>
      </c>
      <c r="B384" s="16" t="s">
        <v>670</v>
      </c>
      <c r="C384" s="15">
        <v>5900000</v>
      </c>
      <c r="D384" s="16">
        <v>890</v>
      </c>
      <c r="E384" s="15">
        <v>6650</v>
      </c>
      <c r="F384" s="16">
        <v>2.36</v>
      </c>
      <c r="G384" s="22">
        <f t="shared" si="12"/>
        <v>4.0454545454545459</v>
      </c>
      <c r="H384" s="16">
        <v>21.16</v>
      </c>
    </row>
    <row r="385" spans="1:8" ht="15.75" thickBot="1" x14ac:dyDescent="0.3">
      <c r="A385" s="11" t="s">
        <v>671</v>
      </c>
      <c r="B385" s="13" t="s">
        <v>672</v>
      </c>
      <c r="C385" s="12">
        <v>1500000</v>
      </c>
      <c r="D385" s="13">
        <v>740</v>
      </c>
      <c r="E385" s="12">
        <v>2100</v>
      </c>
      <c r="F385" s="13">
        <v>0.74</v>
      </c>
      <c r="G385" s="22">
        <f t="shared" si="12"/>
        <v>3.3636363636363638</v>
      </c>
      <c r="H385" s="13">
        <v>6.69</v>
      </c>
    </row>
    <row r="386" spans="1:8" ht="15.75" thickBot="1" x14ac:dyDescent="0.3">
      <c r="A386" s="14" t="s">
        <v>673</v>
      </c>
      <c r="B386" s="16" t="s">
        <v>674</v>
      </c>
      <c r="C386" s="15">
        <v>10100000</v>
      </c>
      <c r="D386" s="15">
        <v>1200</v>
      </c>
      <c r="E386" s="15">
        <v>9200</v>
      </c>
      <c r="F386" s="16">
        <v>3.27</v>
      </c>
      <c r="G386" s="22">
        <f t="shared" si="12"/>
        <v>5.4545454545454541</v>
      </c>
      <c r="H386" s="16">
        <v>29.29</v>
      </c>
    </row>
    <row r="387" spans="1:8" ht="15.75" thickBot="1" x14ac:dyDescent="0.3">
      <c r="A387" s="11" t="s">
        <v>675</v>
      </c>
      <c r="B387" s="13" t="s">
        <v>676</v>
      </c>
      <c r="C387" s="12">
        <v>1500000</v>
      </c>
      <c r="D387" s="13">
        <v>420</v>
      </c>
      <c r="E387" s="12">
        <v>3570</v>
      </c>
      <c r="F387" s="13">
        <v>1.27</v>
      </c>
      <c r="G387" s="22">
        <f t="shared" si="12"/>
        <v>1.9090909090909092</v>
      </c>
      <c r="H387" s="13">
        <v>11.37</v>
      </c>
    </row>
    <row r="388" spans="1:8" ht="15.75" thickBot="1" x14ac:dyDescent="0.3">
      <c r="A388" s="14" t="s">
        <v>677</v>
      </c>
      <c r="B388" s="16" t="s">
        <v>678</v>
      </c>
      <c r="C388" s="15">
        <v>290000</v>
      </c>
      <c r="D388" s="16">
        <v>210</v>
      </c>
      <c r="E388" s="15">
        <v>1710</v>
      </c>
      <c r="F388" s="16">
        <v>0.61</v>
      </c>
      <c r="G388" s="22">
        <f t="shared" si="12"/>
        <v>0.95454545454545459</v>
      </c>
      <c r="H388" s="16">
        <v>5.45</v>
      </c>
    </row>
    <row r="389" spans="1:8" ht="15.75" thickBot="1" x14ac:dyDescent="0.3">
      <c r="A389" s="11" t="s">
        <v>679</v>
      </c>
      <c r="B389" s="13" t="s">
        <v>680</v>
      </c>
      <c r="C389" s="12">
        <v>4300000</v>
      </c>
      <c r="D389" s="13">
        <v>340</v>
      </c>
      <c r="E389" s="12">
        <v>9810</v>
      </c>
      <c r="F389" s="13">
        <v>3.49</v>
      </c>
      <c r="G389" s="22">
        <f t="shared" si="12"/>
        <v>1.5454545454545454</v>
      </c>
      <c r="H389" s="13">
        <v>31.23</v>
      </c>
    </row>
    <row r="390" spans="1:8" ht="15.75" thickBot="1" x14ac:dyDescent="0.3">
      <c r="A390" s="14" t="s">
        <v>681</v>
      </c>
      <c r="B390" s="16" t="s">
        <v>682</v>
      </c>
      <c r="C390" s="15">
        <v>1590000</v>
      </c>
      <c r="D390" s="16">
        <v>170</v>
      </c>
      <c r="E390" s="15">
        <v>9300</v>
      </c>
      <c r="F390" s="16">
        <v>3.31</v>
      </c>
      <c r="G390" s="22">
        <f t="shared" si="12"/>
        <v>0.77272727272727271</v>
      </c>
      <c r="H390" s="16">
        <v>29.59</v>
      </c>
    </row>
    <row r="391" spans="1:8" ht="15.75" thickBot="1" x14ac:dyDescent="0.3">
      <c r="A391" s="11" t="s">
        <v>683</v>
      </c>
      <c r="B391" s="13" t="s">
        <v>684</v>
      </c>
      <c r="C391" s="12">
        <v>5000000</v>
      </c>
      <c r="D391" s="13">
        <v>430</v>
      </c>
      <c r="E391" s="12">
        <v>9930</v>
      </c>
      <c r="F391" s="13">
        <v>3.53</v>
      </c>
      <c r="G391" s="22">
        <f t="shared" si="12"/>
        <v>1.9545454545454546</v>
      </c>
      <c r="H391" s="13">
        <v>31.58</v>
      </c>
    </row>
    <row r="392" spans="1:8" ht="30.75" thickBot="1" x14ac:dyDescent="0.3">
      <c r="A392" s="14" t="s">
        <v>685</v>
      </c>
      <c r="B392" s="16" t="s">
        <v>686</v>
      </c>
      <c r="C392" s="15">
        <v>1080000</v>
      </c>
      <c r="D392" s="16">
        <v>170</v>
      </c>
      <c r="E392" s="15">
        <v>5250</v>
      </c>
      <c r="F392" s="16">
        <v>1.87</v>
      </c>
      <c r="G392" s="22">
        <f t="shared" si="12"/>
        <v>0.77272727272727271</v>
      </c>
      <c r="H392" s="16">
        <v>16.7</v>
      </c>
    </row>
    <row r="393" spans="1:8" ht="15.75" thickBot="1" x14ac:dyDescent="0.3">
      <c r="A393" s="11" t="s">
        <v>687</v>
      </c>
      <c r="B393" s="13" t="s">
        <v>688</v>
      </c>
      <c r="C393" s="12">
        <v>3670000</v>
      </c>
      <c r="D393" s="13">
        <v>490</v>
      </c>
      <c r="E393" s="12">
        <v>8900</v>
      </c>
      <c r="F393" s="13">
        <v>3.17</v>
      </c>
      <c r="G393" s="22">
        <f t="shared" si="12"/>
        <v>2.2272727272727271</v>
      </c>
      <c r="H393" s="13">
        <v>28.32</v>
      </c>
    </row>
    <row r="394" spans="1:8" ht="15.75" thickBot="1" x14ac:dyDescent="0.3">
      <c r="A394" s="14" t="s">
        <v>689</v>
      </c>
      <c r="B394" s="16" t="s">
        <v>421</v>
      </c>
      <c r="C394" s="15">
        <v>860000</v>
      </c>
      <c r="D394" s="16">
        <v>270</v>
      </c>
      <c r="E394" s="15">
        <v>3190</v>
      </c>
      <c r="F394" s="16">
        <v>1.1299999999999999</v>
      </c>
      <c r="G394" s="22">
        <f t="shared" si="12"/>
        <v>1.2272727272727273</v>
      </c>
      <c r="H394" s="16">
        <v>10.16</v>
      </c>
    </row>
    <row r="395" spans="1:8" ht="15.75" thickBot="1" x14ac:dyDescent="0.3">
      <c r="A395" s="11" t="s">
        <v>690</v>
      </c>
      <c r="B395" s="13" t="s">
        <v>691</v>
      </c>
      <c r="C395" s="12">
        <v>4900000</v>
      </c>
      <c r="D395" s="13">
        <v>570</v>
      </c>
      <c r="E395" s="12">
        <v>7100</v>
      </c>
      <c r="F395" s="13">
        <v>2.52</v>
      </c>
      <c r="G395" s="22">
        <f t="shared" si="12"/>
        <v>2.5909090909090908</v>
      </c>
      <c r="H395" s="13">
        <v>22.58</v>
      </c>
    </row>
    <row r="397" spans="1:8" s="4" customFormat="1" ht="26.25" x14ac:dyDescent="0.4">
      <c r="A397" s="26" t="s">
        <v>720</v>
      </c>
      <c r="D397" s="5"/>
    </row>
    <row r="398" spans="1:8" ht="15.75" thickBot="1" x14ac:dyDescent="0.3">
      <c r="A398" t="s">
        <v>0</v>
      </c>
      <c r="B398" t="s">
        <v>1</v>
      </c>
      <c r="C398" s="1" t="s">
        <v>2</v>
      </c>
      <c r="D398" s="1" t="s">
        <v>3</v>
      </c>
      <c r="E398" t="s">
        <v>205</v>
      </c>
      <c r="F398" t="s">
        <v>206</v>
      </c>
      <c r="G398" t="s">
        <v>719</v>
      </c>
      <c r="H398" t="s">
        <v>651</v>
      </c>
    </row>
    <row r="399" spans="1:8" ht="15.75" thickBot="1" x14ac:dyDescent="0.3">
      <c r="A399" s="8" t="s">
        <v>693</v>
      </c>
      <c r="B399" s="10" t="s">
        <v>694</v>
      </c>
      <c r="C399" s="9">
        <v>4400000</v>
      </c>
      <c r="D399" s="10">
        <v>6.6</v>
      </c>
      <c r="E399" s="9">
        <v>661848</v>
      </c>
      <c r="F399" s="10">
        <v>234.12</v>
      </c>
      <c r="G399" s="22">
        <f>SUM(D399/$D$399)</f>
        <v>1</v>
      </c>
      <c r="H399" s="32">
        <v>2107.11</v>
      </c>
    </row>
    <row r="400" spans="1:8" ht="15.75" thickBot="1" x14ac:dyDescent="0.3">
      <c r="A400" s="11" t="s">
        <v>695</v>
      </c>
      <c r="B400" s="13" t="s">
        <v>696</v>
      </c>
      <c r="C400" s="12">
        <v>5500000</v>
      </c>
      <c r="D400" s="13">
        <v>13.6</v>
      </c>
      <c r="E400" s="12">
        <v>403735</v>
      </c>
      <c r="F400" s="13">
        <v>142.97999999999999</v>
      </c>
      <c r="G400" s="22">
        <f t="shared" ref="G400:G412" si="13">SUM(D400/$D$399)</f>
        <v>2.0606060606060606</v>
      </c>
      <c r="H400" s="28">
        <v>1285.95</v>
      </c>
    </row>
    <row r="401" spans="1:8" ht="15.75" thickBot="1" x14ac:dyDescent="0.3">
      <c r="A401" s="14" t="s">
        <v>697</v>
      </c>
      <c r="B401" s="16" t="s">
        <v>698</v>
      </c>
      <c r="C401" s="15">
        <v>1400000</v>
      </c>
      <c r="D401" s="16">
        <v>5.7</v>
      </c>
      <c r="E401" s="15">
        <v>250946</v>
      </c>
      <c r="F401" s="16">
        <v>88.94</v>
      </c>
      <c r="G401" s="22">
        <f t="shared" si="13"/>
        <v>0.86363636363636376</v>
      </c>
      <c r="H401" s="16">
        <v>797.67</v>
      </c>
    </row>
    <row r="402" spans="1:8" ht="15.75" thickBot="1" x14ac:dyDescent="0.3">
      <c r="A402" s="11" t="s">
        <v>699</v>
      </c>
      <c r="B402" s="13" t="s">
        <v>700</v>
      </c>
      <c r="C402" s="12">
        <v>820000</v>
      </c>
      <c r="D402" s="13">
        <v>25.1</v>
      </c>
      <c r="E402" s="12">
        <v>32133</v>
      </c>
      <c r="F402" s="13">
        <v>11.39</v>
      </c>
      <c r="G402" s="22">
        <f t="shared" si="13"/>
        <v>3.8030303030303036</v>
      </c>
      <c r="H402" s="13">
        <v>102.12</v>
      </c>
    </row>
    <row r="403" spans="1:8" ht="30.75" thickBot="1" x14ac:dyDescent="0.3">
      <c r="A403" s="14" t="s">
        <v>701</v>
      </c>
      <c r="B403" s="16" t="s">
        <v>702</v>
      </c>
      <c r="C403" s="15">
        <v>520000</v>
      </c>
      <c r="D403" s="16">
        <v>3.1</v>
      </c>
      <c r="E403" s="15">
        <v>156453</v>
      </c>
      <c r="F403" s="16">
        <v>55.47</v>
      </c>
      <c r="G403" s="22">
        <f t="shared" si="13"/>
        <v>0.46969696969696972</v>
      </c>
      <c r="H403" s="16">
        <v>497.6</v>
      </c>
    </row>
    <row r="404" spans="1:8" ht="30.75" thickBot="1" x14ac:dyDescent="0.3">
      <c r="A404" s="11" t="s">
        <v>703</v>
      </c>
      <c r="B404" s="13" t="s">
        <v>704</v>
      </c>
      <c r="C404" s="12">
        <v>45000</v>
      </c>
      <c r="D404" s="13">
        <v>0.03</v>
      </c>
      <c r="E404" s="12">
        <v>519734</v>
      </c>
      <c r="F404" s="13">
        <v>183.77</v>
      </c>
      <c r="G404" s="22">
        <f t="shared" si="13"/>
        <v>4.5454545454545452E-3</v>
      </c>
      <c r="H404" s="28">
        <v>1653.19</v>
      </c>
    </row>
    <row r="405" spans="1:8" ht="15.75" thickBot="1" x14ac:dyDescent="0.3">
      <c r="A405" s="14" t="s">
        <v>705</v>
      </c>
      <c r="B405" s="16" t="s">
        <v>706</v>
      </c>
      <c r="C405" s="15">
        <v>1000000</v>
      </c>
      <c r="D405" s="16">
        <v>64.8</v>
      </c>
      <c r="E405" s="15">
        <v>15500</v>
      </c>
      <c r="F405" s="16">
        <v>5.48</v>
      </c>
      <c r="G405" s="22">
        <f t="shared" si="13"/>
        <v>9.8181818181818183</v>
      </c>
      <c r="H405" s="16">
        <v>44.66</v>
      </c>
    </row>
    <row r="406" spans="1:8" ht="15.75" thickBot="1" x14ac:dyDescent="0.3">
      <c r="A406" s="11" t="s">
        <v>707</v>
      </c>
      <c r="B406" s="13" t="s">
        <v>704</v>
      </c>
      <c r="C406" s="12">
        <v>40000</v>
      </c>
      <c r="D406" s="13">
        <v>0.02</v>
      </c>
      <c r="E406" s="12">
        <v>725018</v>
      </c>
      <c r="F406" s="13">
        <v>256.25</v>
      </c>
      <c r="G406" s="22">
        <f t="shared" si="13"/>
        <v>3.0303030303030307E-3</v>
      </c>
      <c r="H406" s="28">
        <v>2308.16</v>
      </c>
    </row>
    <row r="407" spans="1:8" ht="15.75" thickBot="1" x14ac:dyDescent="0.3">
      <c r="A407" s="14" t="s">
        <v>708</v>
      </c>
      <c r="B407" s="16" t="s">
        <v>709</v>
      </c>
      <c r="C407" s="15">
        <v>15200000</v>
      </c>
      <c r="D407" s="16">
        <v>41.7</v>
      </c>
      <c r="E407" s="15">
        <v>365681</v>
      </c>
      <c r="F407" s="16">
        <v>129.57</v>
      </c>
      <c r="G407" s="22">
        <f t="shared" si="13"/>
        <v>6.3181818181818192</v>
      </c>
      <c r="H407" s="29">
        <v>1148.1500000000001</v>
      </c>
    </row>
    <row r="408" spans="1:8" ht="30.75" thickBot="1" x14ac:dyDescent="0.3">
      <c r="A408" s="11" t="s">
        <v>710</v>
      </c>
      <c r="B408" s="13" t="s">
        <v>711</v>
      </c>
      <c r="C408" s="12">
        <v>170000</v>
      </c>
      <c r="D408" s="13">
        <v>67.8</v>
      </c>
      <c r="E408" s="12">
        <v>2190</v>
      </c>
      <c r="F408" s="13">
        <v>0.78</v>
      </c>
      <c r="G408" s="22">
        <f t="shared" si="13"/>
        <v>10.272727272727273</v>
      </c>
      <c r="H408" s="13">
        <v>6.87</v>
      </c>
    </row>
    <row r="409" spans="1:8" ht="15.75" thickBot="1" x14ac:dyDescent="0.3">
      <c r="A409" s="14" t="s">
        <v>712</v>
      </c>
      <c r="B409" s="16" t="s">
        <v>713</v>
      </c>
      <c r="C409" s="15">
        <v>8800000</v>
      </c>
      <c r="D409" s="16">
        <v>17.2</v>
      </c>
      <c r="E409" s="15">
        <v>512053</v>
      </c>
      <c r="F409" s="16">
        <v>181.44</v>
      </c>
      <c r="G409" s="22">
        <f t="shared" si="13"/>
        <v>2.606060606060606</v>
      </c>
      <c r="H409" s="29">
        <v>1630.37</v>
      </c>
    </row>
    <row r="410" spans="1:8" ht="15.75" thickBot="1" x14ac:dyDescent="0.3">
      <c r="A410" s="11" t="s">
        <v>714</v>
      </c>
      <c r="B410" s="13" t="s">
        <v>715</v>
      </c>
      <c r="C410" s="12">
        <v>1200000</v>
      </c>
      <c r="D410" s="13">
        <v>4.5</v>
      </c>
      <c r="E410" s="12">
        <v>251700</v>
      </c>
      <c r="F410" s="13">
        <v>89.23</v>
      </c>
      <c r="G410" s="22">
        <f t="shared" si="13"/>
        <v>0.68181818181818188</v>
      </c>
      <c r="H410" s="13">
        <v>799.47</v>
      </c>
    </row>
    <row r="411" spans="1:8" ht="15.75" thickBot="1" x14ac:dyDescent="0.3">
      <c r="A411" s="14" t="s">
        <v>716</v>
      </c>
      <c r="B411" s="16" t="s">
        <v>717</v>
      </c>
      <c r="C411" s="15">
        <v>45000</v>
      </c>
      <c r="D411" s="16">
        <v>0.2</v>
      </c>
      <c r="E411" s="15">
        <v>186272</v>
      </c>
      <c r="F411" s="16">
        <v>66.06</v>
      </c>
      <c r="G411" s="22">
        <f t="shared" si="13"/>
        <v>3.0303030303030307E-2</v>
      </c>
      <c r="H411" s="16">
        <v>591.97</v>
      </c>
    </row>
    <row r="412" spans="1:8" ht="15.75" thickBot="1" x14ac:dyDescent="0.3">
      <c r="A412" s="11" t="s">
        <v>707</v>
      </c>
      <c r="B412" s="13" t="s">
        <v>704</v>
      </c>
      <c r="C412" s="12">
        <v>40000</v>
      </c>
      <c r="D412" s="13">
        <v>0.02</v>
      </c>
      <c r="E412" s="12">
        <v>725018</v>
      </c>
      <c r="F412" s="13">
        <v>256.25</v>
      </c>
      <c r="G412" s="22">
        <f t="shared" si="13"/>
        <v>3.0303030303030307E-3</v>
      </c>
      <c r="H412" s="28">
        <v>2308.16</v>
      </c>
    </row>
    <row r="415" spans="1:8" s="4" customFormat="1" ht="34.5" x14ac:dyDescent="0.55000000000000004">
      <c r="A415" s="33" t="s">
        <v>816</v>
      </c>
      <c r="D415" s="5"/>
    </row>
    <row r="416" spans="1:8" ht="15.75" thickBot="1" x14ac:dyDescent="0.3">
      <c r="A416" t="s">
        <v>0</v>
      </c>
      <c r="B416" t="s">
        <v>1</v>
      </c>
      <c r="C416" s="1" t="s">
        <v>2</v>
      </c>
      <c r="D416" s="1" t="s">
        <v>3</v>
      </c>
      <c r="E416" t="s">
        <v>205</v>
      </c>
      <c r="F416" t="s">
        <v>206</v>
      </c>
      <c r="G416" t="s">
        <v>815</v>
      </c>
      <c r="H416" t="s">
        <v>651</v>
      </c>
    </row>
    <row r="417" spans="1:8" ht="15.75" thickBot="1" x14ac:dyDescent="0.3">
      <c r="A417" s="8" t="s">
        <v>721</v>
      </c>
      <c r="B417" s="10" t="s">
        <v>722</v>
      </c>
      <c r="C417" s="9">
        <v>5281297</v>
      </c>
      <c r="D417" s="10">
        <v>180.61</v>
      </c>
      <c r="E417" s="9">
        <v>29643</v>
      </c>
      <c r="F417" s="10">
        <v>10.45</v>
      </c>
      <c r="G417" s="22">
        <f>SUM(D417/$D$417)</f>
        <v>1</v>
      </c>
      <c r="H417" s="10">
        <v>94.23</v>
      </c>
    </row>
    <row r="418" spans="1:8" ht="15.75" thickBot="1" x14ac:dyDescent="0.3">
      <c r="A418" s="11" t="s">
        <v>723</v>
      </c>
      <c r="B418" s="13" t="s">
        <v>724</v>
      </c>
      <c r="C418" s="12">
        <v>1232837</v>
      </c>
      <c r="D418" s="13">
        <v>183.23</v>
      </c>
      <c r="E418" s="12">
        <v>6728</v>
      </c>
      <c r="F418" s="13">
        <v>2.39</v>
      </c>
      <c r="G418" s="22">
        <f t="shared" ref="G418:G463" si="14">SUM(D418/$D$417)</f>
        <v>1.0145063949947399</v>
      </c>
      <c r="H418" s="13">
        <v>21.41</v>
      </c>
    </row>
    <row r="419" spans="1:8" ht="15.75" thickBot="1" x14ac:dyDescent="0.3">
      <c r="A419" s="14" t="s">
        <v>725</v>
      </c>
      <c r="B419" s="16" t="s">
        <v>726</v>
      </c>
      <c r="C419" s="15">
        <v>1210534</v>
      </c>
      <c r="D419" s="16">
        <v>128.86000000000001</v>
      </c>
      <c r="E419" s="15">
        <v>9397</v>
      </c>
      <c r="F419" s="16">
        <v>3.33</v>
      </c>
      <c r="G419" s="22">
        <f t="shared" si="14"/>
        <v>0.71347101489397047</v>
      </c>
      <c r="H419" s="16">
        <v>29.9</v>
      </c>
    </row>
    <row r="420" spans="1:8" ht="15.75" thickBot="1" x14ac:dyDescent="0.3">
      <c r="A420" s="11" t="s">
        <v>727</v>
      </c>
      <c r="B420" s="13" t="s">
        <v>728</v>
      </c>
      <c r="C420" s="12">
        <v>2301996</v>
      </c>
      <c r="D420" s="13">
        <v>529.9</v>
      </c>
      <c r="E420" s="12">
        <v>4344</v>
      </c>
      <c r="F420" s="13">
        <v>1.53</v>
      </c>
      <c r="G420" s="22">
        <f t="shared" si="14"/>
        <v>2.9339460716460879</v>
      </c>
      <c r="H420" s="13">
        <v>13.82</v>
      </c>
    </row>
    <row r="421" spans="1:8" ht="15.75" thickBot="1" x14ac:dyDescent="0.3">
      <c r="A421" s="14" t="s">
        <v>729</v>
      </c>
      <c r="B421" s="16" t="s">
        <v>730</v>
      </c>
      <c r="C421" s="15">
        <v>944902</v>
      </c>
      <c r="D421" s="16">
        <v>111.41</v>
      </c>
      <c r="E421" s="15">
        <v>8483</v>
      </c>
      <c r="F421" s="16">
        <v>2.99</v>
      </c>
      <c r="G421" s="22">
        <f t="shared" si="14"/>
        <v>0.61685399479541547</v>
      </c>
      <c r="H421" s="16">
        <v>27</v>
      </c>
    </row>
    <row r="422" spans="1:8" ht="15.75" thickBot="1" x14ac:dyDescent="0.3">
      <c r="A422" s="11" t="s">
        <v>731</v>
      </c>
      <c r="B422" s="13" t="s">
        <v>732</v>
      </c>
      <c r="C422" s="12">
        <v>1068027</v>
      </c>
      <c r="D422" s="13">
        <v>181.12</v>
      </c>
      <c r="E422" s="12">
        <v>5899</v>
      </c>
      <c r="F422" s="13">
        <v>2.08</v>
      </c>
      <c r="G422" s="22">
        <f t="shared" si="14"/>
        <v>1.0028237639111899</v>
      </c>
      <c r="H422" s="13">
        <v>18.77</v>
      </c>
    </row>
    <row r="423" spans="1:8" ht="15.75" thickBot="1" x14ac:dyDescent="0.3">
      <c r="A423" s="14" t="s">
        <v>733</v>
      </c>
      <c r="B423" s="16" t="s">
        <v>734</v>
      </c>
      <c r="C423" s="15">
        <v>1812255</v>
      </c>
      <c r="D423" s="16">
        <v>242.13</v>
      </c>
      <c r="E423" s="15">
        <v>7487</v>
      </c>
      <c r="F423" s="16">
        <v>2.65</v>
      </c>
      <c r="G423" s="22">
        <f t="shared" si="14"/>
        <v>1.3406234427772548</v>
      </c>
      <c r="H423" s="16">
        <v>23.84</v>
      </c>
    </row>
    <row r="424" spans="1:8" ht="15.75" thickBot="1" x14ac:dyDescent="0.3">
      <c r="A424" s="11" t="s">
        <v>735</v>
      </c>
      <c r="B424" s="13" t="s">
        <v>736</v>
      </c>
      <c r="C424" s="12">
        <v>2871684</v>
      </c>
      <c r="D424" s="13">
        <v>803.88</v>
      </c>
      <c r="E424" s="12">
        <v>3573</v>
      </c>
      <c r="F424" s="13">
        <v>1.25</v>
      </c>
      <c r="G424" s="22">
        <f t="shared" si="14"/>
        <v>4.4509163390731405</v>
      </c>
      <c r="H424" s="13">
        <v>11.39</v>
      </c>
    </row>
    <row r="425" spans="1:8" ht="15.75" thickBot="1" x14ac:dyDescent="0.3">
      <c r="A425" s="14" t="s">
        <v>737</v>
      </c>
      <c r="B425" s="16" t="s">
        <v>738</v>
      </c>
      <c r="C425" s="15">
        <v>1964079</v>
      </c>
      <c r="D425" s="16">
        <v>517.5</v>
      </c>
      <c r="E425" s="15">
        <v>3795</v>
      </c>
      <c r="F425" s="16">
        <v>1.35</v>
      </c>
      <c r="G425" s="22">
        <f t="shared" si="14"/>
        <v>2.8652898510602953</v>
      </c>
      <c r="H425" s="16">
        <v>12.11</v>
      </c>
    </row>
    <row r="426" spans="1:8" ht="15.75" thickBot="1" x14ac:dyDescent="0.3">
      <c r="A426" s="11" t="s">
        <v>739</v>
      </c>
      <c r="B426" s="13" t="s">
        <v>740</v>
      </c>
      <c r="C426" s="12">
        <v>1940333</v>
      </c>
      <c r="D426" s="13">
        <v>501.1</v>
      </c>
      <c r="E426" s="12">
        <v>3874</v>
      </c>
      <c r="F426" s="13">
        <v>1.37</v>
      </c>
      <c r="G426" s="22">
        <f t="shared" si="14"/>
        <v>2.7744864625436021</v>
      </c>
      <c r="H426" s="13">
        <v>12.35</v>
      </c>
    </row>
    <row r="427" spans="1:8" ht="15.75" thickBot="1" x14ac:dyDescent="0.3">
      <c r="A427" s="14" t="s">
        <v>741</v>
      </c>
      <c r="B427" s="16" t="s">
        <v>742</v>
      </c>
      <c r="C427" s="15">
        <v>7352084</v>
      </c>
      <c r="D427" s="29">
        <v>5259.19</v>
      </c>
      <c r="E427" s="15">
        <v>1398</v>
      </c>
      <c r="F427" s="16">
        <v>0.5</v>
      </c>
      <c r="G427" s="22">
        <f t="shared" si="14"/>
        <v>29.119041027628587</v>
      </c>
      <c r="H427" s="16">
        <v>4.45</v>
      </c>
    </row>
    <row r="428" spans="1:8" ht="15.75" thickBot="1" x14ac:dyDescent="0.3">
      <c r="A428" s="11" t="s">
        <v>743</v>
      </c>
      <c r="B428" s="13" t="s">
        <v>744</v>
      </c>
      <c r="C428" s="12">
        <v>6338925</v>
      </c>
      <c r="D428" s="28">
        <v>4108.01</v>
      </c>
      <c r="E428" s="12">
        <v>1542</v>
      </c>
      <c r="F428" s="13">
        <v>0.54</v>
      </c>
      <c r="G428" s="22">
        <f t="shared" si="14"/>
        <v>22.745196832954985</v>
      </c>
      <c r="H428" s="13">
        <v>4.92</v>
      </c>
    </row>
    <row r="429" spans="1:8" ht="15.75" thickBot="1" x14ac:dyDescent="0.3">
      <c r="A429" s="14" t="s">
        <v>745</v>
      </c>
      <c r="B429" s="16" t="s">
        <v>746</v>
      </c>
      <c r="C429" s="15">
        <v>14064696</v>
      </c>
      <c r="D429" s="29">
        <v>17049.400000000001</v>
      </c>
      <c r="E429" s="16">
        <v>825</v>
      </c>
      <c r="F429" s="16">
        <v>0.28999999999999998</v>
      </c>
      <c r="G429" s="22">
        <f t="shared" si="14"/>
        <v>94.398981230275183</v>
      </c>
      <c r="H429" s="16">
        <v>2.63</v>
      </c>
    </row>
    <row r="430" spans="1:8" ht="15.75" thickBot="1" x14ac:dyDescent="0.3">
      <c r="A430" s="11" t="s">
        <v>747</v>
      </c>
      <c r="B430" s="13" t="s">
        <v>748</v>
      </c>
      <c r="C430" s="12">
        <v>9226009</v>
      </c>
      <c r="D430" s="28">
        <v>9255.11</v>
      </c>
      <c r="E430" s="13">
        <v>997</v>
      </c>
      <c r="F430" s="13">
        <v>0.35</v>
      </c>
      <c r="G430" s="22">
        <f t="shared" si="14"/>
        <v>51.243618847239908</v>
      </c>
      <c r="H430" s="13">
        <v>3.18</v>
      </c>
    </row>
    <row r="431" spans="1:8" ht="15.75" thickBot="1" x14ac:dyDescent="0.3">
      <c r="A431" s="14" t="s">
        <v>749</v>
      </c>
      <c r="B431" s="16" t="s">
        <v>750</v>
      </c>
      <c r="C431" s="15">
        <v>2168984</v>
      </c>
      <c r="D431" s="16">
        <v>237.27</v>
      </c>
      <c r="E431" s="15">
        <v>9142</v>
      </c>
      <c r="F431" s="16">
        <v>3.23</v>
      </c>
      <c r="G431" s="22">
        <f t="shared" si="14"/>
        <v>1.3137146337412102</v>
      </c>
      <c r="H431" s="16">
        <v>32.29</v>
      </c>
    </row>
    <row r="432" spans="1:8" ht="15.75" thickBot="1" x14ac:dyDescent="0.3">
      <c r="A432" s="11" t="s">
        <v>751</v>
      </c>
      <c r="B432" s="13" t="s">
        <v>752</v>
      </c>
      <c r="C432" s="12">
        <v>1034814</v>
      </c>
      <c r="D432" s="13">
        <v>605.82000000000005</v>
      </c>
      <c r="E432" s="12">
        <v>1709</v>
      </c>
      <c r="F432" s="13">
        <v>0.6</v>
      </c>
      <c r="G432" s="22">
        <f t="shared" si="14"/>
        <v>3.354299318974586</v>
      </c>
      <c r="H432" s="13">
        <v>6.19</v>
      </c>
    </row>
    <row r="433" spans="1:8" ht="15.75" thickBot="1" x14ac:dyDescent="0.3">
      <c r="A433" s="14" t="s">
        <v>753</v>
      </c>
      <c r="B433" s="16" t="s">
        <v>754</v>
      </c>
      <c r="C433" s="15">
        <v>1134591</v>
      </c>
      <c r="D433" s="16">
        <v>599.71</v>
      </c>
      <c r="E433" s="15">
        <v>1893</v>
      </c>
      <c r="F433" s="16">
        <v>0.67</v>
      </c>
      <c r="G433" s="22">
        <f t="shared" si="14"/>
        <v>3.3204695199601351</v>
      </c>
      <c r="H433" s="16">
        <v>6.98</v>
      </c>
    </row>
    <row r="434" spans="1:8" ht="15.75" thickBot="1" x14ac:dyDescent="0.3">
      <c r="A434" s="11" t="s">
        <v>755</v>
      </c>
      <c r="B434" s="13" t="s">
        <v>756</v>
      </c>
      <c r="C434" s="12">
        <v>778943</v>
      </c>
      <c r="D434" s="13">
        <v>442.74</v>
      </c>
      <c r="E434" s="12">
        <v>1759</v>
      </c>
      <c r="F434" s="13">
        <v>0.62</v>
      </c>
      <c r="G434" s="22">
        <f t="shared" si="14"/>
        <v>2.4513592824317589</v>
      </c>
      <c r="H434" s="13">
        <v>6.85</v>
      </c>
    </row>
    <row r="435" spans="1:8" ht="15.75" thickBot="1" x14ac:dyDescent="0.3">
      <c r="A435" s="14" t="s">
        <v>757</v>
      </c>
      <c r="B435" s="16" t="s">
        <v>758</v>
      </c>
      <c r="C435" s="15">
        <v>817927</v>
      </c>
      <c r="D435" s="16">
        <v>401.19</v>
      </c>
      <c r="E435" s="15">
        <v>2039</v>
      </c>
      <c r="F435" s="16">
        <v>0.72</v>
      </c>
      <c r="G435" s="22">
        <f t="shared" si="14"/>
        <v>2.2213055755495263</v>
      </c>
      <c r="H435" s="16">
        <v>7.86</v>
      </c>
    </row>
    <row r="436" spans="1:8" ht="15.75" thickBot="1" x14ac:dyDescent="0.3">
      <c r="A436" s="11" t="s">
        <v>759</v>
      </c>
      <c r="B436" s="13" t="s">
        <v>760</v>
      </c>
      <c r="C436" s="12">
        <v>2007683</v>
      </c>
      <c r="D436" s="13">
        <v>312.58</v>
      </c>
      <c r="E436" s="12">
        <v>6426</v>
      </c>
      <c r="F436" s="13">
        <v>2.27</v>
      </c>
      <c r="G436" s="22">
        <f t="shared" si="14"/>
        <v>1.7306904379602457</v>
      </c>
      <c r="H436" s="13">
        <v>22.66</v>
      </c>
    </row>
    <row r="437" spans="1:8" ht="15.75" thickBot="1" x14ac:dyDescent="0.3">
      <c r="A437" s="14" t="s">
        <v>761</v>
      </c>
      <c r="B437" s="16" t="s">
        <v>762</v>
      </c>
      <c r="C437" s="15">
        <v>1986484</v>
      </c>
      <c r="D437" s="16">
        <v>436.76</v>
      </c>
      <c r="E437" s="15">
        <v>4547</v>
      </c>
      <c r="F437" s="16">
        <v>1.61</v>
      </c>
      <c r="G437" s="22">
        <f t="shared" si="14"/>
        <v>2.4182492663750619</v>
      </c>
      <c r="H437" s="16">
        <v>16.04</v>
      </c>
    </row>
    <row r="438" spans="1:8" ht="15.75" thickBot="1" x14ac:dyDescent="0.3">
      <c r="A438" s="11" t="s">
        <v>763</v>
      </c>
      <c r="B438" s="13" t="s">
        <v>764</v>
      </c>
      <c r="C438" s="12">
        <v>3633887</v>
      </c>
      <c r="D438" s="28">
        <v>1040.7</v>
      </c>
      <c r="E438" s="12">
        <v>3492</v>
      </c>
      <c r="F438" s="13">
        <v>1.23</v>
      </c>
      <c r="G438" s="22">
        <f t="shared" si="14"/>
        <v>5.7621394164221247</v>
      </c>
      <c r="H438" s="13">
        <v>12.28</v>
      </c>
    </row>
    <row r="439" spans="1:8" ht="15.75" thickBot="1" x14ac:dyDescent="0.3">
      <c r="A439" s="14" t="s">
        <v>765</v>
      </c>
      <c r="B439" s="16" t="s">
        <v>766</v>
      </c>
      <c r="C439" s="15">
        <v>7552873</v>
      </c>
      <c r="D439" s="29">
        <v>3459.37</v>
      </c>
      <c r="E439" s="15">
        <v>2183</v>
      </c>
      <c r="F439" s="16">
        <v>0.77</v>
      </c>
      <c r="G439" s="22">
        <f t="shared" si="14"/>
        <v>19.153812081280105</v>
      </c>
      <c r="H439" s="16">
        <v>7</v>
      </c>
    </row>
    <row r="440" spans="1:8" ht="15.75" thickBot="1" x14ac:dyDescent="0.3">
      <c r="A440" s="11" t="s">
        <v>767</v>
      </c>
      <c r="B440" s="13" t="s">
        <v>768</v>
      </c>
      <c r="C440" s="12">
        <v>1776205</v>
      </c>
      <c r="D440" s="13">
        <v>476.78</v>
      </c>
      <c r="E440" s="12">
        <v>3726</v>
      </c>
      <c r="F440" s="13">
        <v>1.32</v>
      </c>
      <c r="G440" s="22">
        <f t="shared" si="14"/>
        <v>2.6398316815237246</v>
      </c>
      <c r="H440" s="13">
        <v>11.88</v>
      </c>
    </row>
    <row r="441" spans="1:8" ht="15.75" thickBot="1" x14ac:dyDescent="0.3">
      <c r="A441" s="14" t="s">
        <v>769</v>
      </c>
      <c r="B441" s="16" t="s">
        <v>770</v>
      </c>
      <c r="C441" s="15">
        <v>1413552</v>
      </c>
      <c r="D441" s="16">
        <v>525.48</v>
      </c>
      <c r="E441" s="15">
        <v>2692</v>
      </c>
      <c r="F441" s="16">
        <v>0.96</v>
      </c>
      <c r="G441" s="22">
        <f t="shared" si="14"/>
        <v>2.9094734510824427</v>
      </c>
      <c r="H441" s="16">
        <v>8.58</v>
      </c>
    </row>
    <row r="442" spans="1:8" ht="15.75" thickBot="1" x14ac:dyDescent="0.3">
      <c r="A442" s="11" t="s">
        <v>771</v>
      </c>
      <c r="B442" s="13" t="s">
        <v>772</v>
      </c>
      <c r="C442" s="12">
        <v>2577646</v>
      </c>
      <c r="D442" s="28">
        <v>1771.44</v>
      </c>
      <c r="E442" s="12">
        <v>1455</v>
      </c>
      <c r="F442" s="13">
        <v>0.51</v>
      </c>
      <c r="G442" s="22">
        <f t="shared" si="14"/>
        <v>9.8080947898787443</v>
      </c>
      <c r="H442" s="13">
        <v>4.6399999999999997</v>
      </c>
    </row>
    <row r="443" spans="1:8" ht="15.75" thickBot="1" x14ac:dyDescent="0.3">
      <c r="A443" s="14" t="s">
        <v>773</v>
      </c>
      <c r="B443" s="16" t="s">
        <v>774</v>
      </c>
      <c r="C443" s="15">
        <v>8799044</v>
      </c>
      <c r="D443" s="29">
        <v>9329.1</v>
      </c>
      <c r="E443" s="16">
        <v>944</v>
      </c>
      <c r="F443" s="16">
        <v>0.33</v>
      </c>
      <c r="G443" s="22">
        <f t="shared" si="14"/>
        <v>51.653286086041746</v>
      </c>
      <c r="H443" s="16">
        <v>3.01</v>
      </c>
    </row>
    <row r="444" spans="1:8" ht="15.75" thickBot="1" x14ac:dyDescent="0.3">
      <c r="A444" s="11" t="s">
        <v>775</v>
      </c>
      <c r="B444" s="13" t="s">
        <v>776</v>
      </c>
      <c r="C444" s="12">
        <v>5469762</v>
      </c>
      <c r="D444" s="28">
        <v>1308.0899999999999</v>
      </c>
      <c r="E444" s="12">
        <v>4179</v>
      </c>
      <c r="F444" s="13">
        <v>1.48</v>
      </c>
      <c r="G444" s="22">
        <f t="shared" si="14"/>
        <v>7.2426222246830179</v>
      </c>
      <c r="H444" s="13">
        <v>11.16</v>
      </c>
    </row>
    <row r="445" spans="1:8" ht="15.75" thickBot="1" x14ac:dyDescent="0.3">
      <c r="A445" s="14" t="s">
        <v>777</v>
      </c>
      <c r="B445" s="16" t="s">
        <v>778</v>
      </c>
      <c r="C445" s="15">
        <v>1321805</v>
      </c>
      <c r="D445" s="29">
        <v>1013.02</v>
      </c>
      <c r="E445" s="15">
        <v>1305</v>
      </c>
      <c r="F445" s="16">
        <v>0.46</v>
      </c>
      <c r="G445" s="22">
        <f t="shared" si="14"/>
        <v>5.608881014340291</v>
      </c>
      <c r="H445" s="16">
        <v>3.95</v>
      </c>
    </row>
    <row r="446" spans="1:8" ht="15.75" thickBot="1" x14ac:dyDescent="0.3">
      <c r="A446" s="11" t="s">
        <v>779</v>
      </c>
      <c r="B446" s="13" t="s">
        <v>780</v>
      </c>
      <c r="C446" s="12">
        <v>963579</v>
      </c>
      <c r="D446" s="13">
        <v>347.23</v>
      </c>
      <c r="E446" s="12">
        <v>2776</v>
      </c>
      <c r="F446" s="13">
        <v>0.98</v>
      </c>
      <c r="G446" s="22">
        <f t="shared" si="14"/>
        <v>1.9225402801616742</v>
      </c>
      <c r="H446" s="13">
        <v>8.83</v>
      </c>
    </row>
    <row r="447" spans="1:8" ht="15.75" thickBot="1" x14ac:dyDescent="0.3">
      <c r="A447" s="14" t="s">
        <v>781</v>
      </c>
      <c r="B447" s="16" t="s">
        <v>782</v>
      </c>
      <c r="C447" s="15">
        <v>553407</v>
      </c>
      <c r="D447" s="16">
        <v>234.01</v>
      </c>
      <c r="E447" s="15">
        <v>2366</v>
      </c>
      <c r="F447" s="16">
        <v>0.84</v>
      </c>
      <c r="G447" s="22">
        <f t="shared" si="14"/>
        <v>1.2956646918775261</v>
      </c>
      <c r="H447" s="16">
        <v>7.52</v>
      </c>
    </row>
    <row r="448" spans="1:8" ht="15.75" thickBot="1" x14ac:dyDescent="0.3">
      <c r="A448" s="11" t="s">
        <v>783</v>
      </c>
      <c r="B448" s="13" t="s">
        <v>784</v>
      </c>
      <c r="C448" s="12">
        <v>667856</v>
      </c>
      <c r="D448" s="13">
        <v>186.39</v>
      </c>
      <c r="E448" s="12">
        <v>3583</v>
      </c>
      <c r="F448" s="13">
        <v>1.28</v>
      </c>
      <c r="G448" s="22">
        <f t="shared" si="14"/>
        <v>1.0320026576601515</v>
      </c>
      <c r="H448" s="13">
        <v>10.89</v>
      </c>
    </row>
    <row r="449" spans="1:8" ht="15.75" thickBot="1" x14ac:dyDescent="0.3">
      <c r="A449" s="14" t="s">
        <v>785</v>
      </c>
      <c r="B449" s="16" t="s">
        <v>786</v>
      </c>
      <c r="C449" s="15">
        <v>1890672</v>
      </c>
      <c r="D449" s="16">
        <v>562.14</v>
      </c>
      <c r="E449" s="15">
        <v>3364</v>
      </c>
      <c r="F449" s="16">
        <v>1.19</v>
      </c>
      <c r="G449" s="22">
        <f t="shared" si="14"/>
        <v>3.1124522451691488</v>
      </c>
      <c r="H449" s="16">
        <v>9.9499999999999993</v>
      </c>
    </row>
    <row r="450" spans="1:8" ht="15.75" thickBot="1" x14ac:dyDescent="0.3">
      <c r="A450" s="11" t="s">
        <v>787</v>
      </c>
      <c r="B450" s="13" t="s">
        <v>788</v>
      </c>
      <c r="C450" s="12">
        <v>2804177</v>
      </c>
      <c r="D450" s="28">
        <v>1082.8699999999999</v>
      </c>
      <c r="E450" s="12">
        <v>2589</v>
      </c>
      <c r="F450" s="13">
        <v>0.92</v>
      </c>
      <c r="G450" s="22">
        <f t="shared" si="14"/>
        <v>5.9956259343336464</v>
      </c>
      <c r="H450" s="13">
        <v>7.85</v>
      </c>
    </row>
    <row r="451" spans="1:8" ht="15.75" thickBot="1" x14ac:dyDescent="0.3">
      <c r="A451" s="14" t="s">
        <v>789</v>
      </c>
      <c r="B451" s="16" t="s">
        <v>790</v>
      </c>
      <c r="C451" s="15">
        <v>1339215</v>
      </c>
      <c r="D451" s="16">
        <v>351.82</v>
      </c>
      <c r="E451" s="15">
        <v>3808</v>
      </c>
      <c r="F451" s="16">
        <v>1.35</v>
      </c>
      <c r="G451" s="22">
        <f t="shared" si="14"/>
        <v>1.9479541553623829</v>
      </c>
      <c r="H451" s="16">
        <v>12.14</v>
      </c>
    </row>
    <row r="452" spans="1:8" ht="15.75" thickBot="1" x14ac:dyDescent="0.3">
      <c r="A452" s="11" t="s">
        <v>791</v>
      </c>
      <c r="B452" s="13" t="s">
        <v>792</v>
      </c>
      <c r="C452" s="12">
        <v>727977</v>
      </c>
      <c r="D452" s="13">
        <v>283.17</v>
      </c>
      <c r="E452" s="12">
        <v>2572</v>
      </c>
      <c r="F452" s="13">
        <v>0.91</v>
      </c>
      <c r="G452" s="22">
        <f t="shared" si="14"/>
        <v>1.5678533857482975</v>
      </c>
      <c r="H452" s="13">
        <v>8.1999999999999993</v>
      </c>
    </row>
    <row r="453" spans="1:8" ht="15.75" thickBot="1" x14ac:dyDescent="0.3">
      <c r="A453" s="14" t="s">
        <v>793</v>
      </c>
      <c r="B453" s="16" t="s">
        <v>794</v>
      </c>
      <c r="C453" s="15">
        <v>963850</v>
      </c>
      <c r="D453" s="29">
        <v>1019.46</v>
      </c>
      <c r="E453" s="16">
        <v>946</v>
      </c>
      <c r="F453" s="16">
        <v>0.34</v>
      </c>
      <c r="G453" s="22">
        <f t="shared" si="14"/>
        <v>5.6445379547090413</v>
      </c>
      <c r="H453" s="16">
        <v>3.01</v>
      </c>
    </row>
    <row r="454" spans="1:8" ht="15.75" thickBot="1" x14ac:dyDescent="0.3">
      <c r="A454" s="11" t="s">
        <v>795</v>
      </c>
      <c r="B454" s="13" t="s">
        <v>796</v>
      </c>
      <c r="C454" s="12">
        <v>1340993</v>
      </c>
      <c r="D454" s="13">
        <v>362.08</v>
      </c>
      <c r="E454" s="12">
        <v>3704</v>
      </c>
      <c r="F454" s="13">
        <v>1.31</v>
      </c>
      <c r="G454" s="22">
        <f t="shared" si="14"/>
        <v>2.0047616411051434</v>
      </c>
      <c r="H454" s="13">
        <v>11.81</v>
      </c>
    </row>
    <row r="455" spans="1:8" ht="15.75" thickBot="1" x14ac:dyDescent="0.3">
      <c r="A455" s="14" t="s">
        <v>797</v>
      </c>
      <c r="B455" s="16" t="s">
        <v>798</v>
      </c>
      <c r="C455" s="15">
        <v>698633</v>
      </c>
      <c r="D455" s="16">
        <v>177.29</v>
      </c>
      <c r="E455" s="15">
        <v>3941</v>
      </c>
      <c r="F455" s="16">
        <v>1.4</v>
      </c>
      <c r="G455" s="22">
        <f t="shared" si="14"/>
        <v>0.98161785061735218</v>
      </c>
      <c r="H455" s="16">
        <v>12.53</v>
      </c>
    </row>
    <row r="456" spans="1:8" ht="15.75" thickBot="1" x14ac:dyDescent="0.3">
      <c r="A456" s="11" t="s">
        <v>799</v>
      </c>
      <c r="B456" s="13" t="s">
        <v>800</v>
      </c>
      <c r="C456" s="12">
        <v>5109323</v>
      </c>
      <c r="D456" s="28">
        <v>1662.48</v>
      </c>
      <c r="E456" s="12">
        <v>3074</v>
      </c>
      <c r="F456" s="13">
        <v>1.0900000000000001</v>
      </c>
      <c r="G456" s="22">
        <f t="shared" si="14"/>
        <v>9.204805935441005</v>
      </c>
      <c r="H456" s="13">
        <v>9.7899999999999991</v>
      </c>
    </row>
    <row r="457" spans="1:8" ht="15.75" thickBot="1" x14ac:dyDescent="0.3">
      <c r="A457" s="14" t="s">
        <v>801</v>
      </c>
      <c r="B457" s="16" t="s">
        <v>802</v>
      </c>
      <c r="C457" s="15">
        <v>814653</v>
      </c>
      <c r="D457" s="16">
        <v>600.9</v>
      </c>
      <c r="E457" s="15">
        <v>1356</v>
      </c>
      <c r="F457" s="16">
        <v>0.48</v>
      </c>
      <c r="G457" s="22">
        <f t="shared" si="14"/>
        <v>3.3270583024195779</v>
      </c>
      <c r="H457" s="16">
        <v>4.34</v>
      </c>
    </row>
    <row r="458" spans="1:8" ht="15.75" thickBot="1" x14ac:dyDescent="0.3">
      <c r="A458" s="11" t="s">
        <v>803</v>
      </c>
      <c r="B458" s="13" t="s">
        <v>804</v>
      </c>
      <c r="C458" s="12">
        <v>1305943</v>
      </c>
      <c r="D458" s="13">
        <v>399.4</v>
      </c>
      <c r="E458" s="12">
        <v>3270</v>
      </c>
      <c r="F458" s="13">
        <v>1.1499999999999999</v>
      </c>
      <c r="G458" s="22">
        <f t="shared" si="14"/>
        <v>2.2113947179004483</v>
      </c>
      <c r="H458" s="13">
        <v>10.45</v>
      </c>
    </row>
    <row r="459" spans="1:8" ht="15.75" thickBot="1" x14ac:dyDescent="0.3">
      <c r="A459" s="14" t="s">
        <v>805</v>
      </c>
      <c r="B459" s="16" t="s">
        <v>806</v>
      </c>
      <c r="C459" s="15">
        <v>1728033</v>
      </c>
      <c r="D459" s="16">
        <v>430.43</v>
      </c>
      <c r="E459" s="15">
        <v>4015</v>
      </c>
      <c r="F459" s="16">
        <v>1.42</v>
      </c>
      <c r="G459" s="22">
        <f t="shared" si="14"/>
        <v>2.3832013731244115</v>
      </c>
      <c r="H459" s="16">
        <v>12.8</v>
      </c>
    </row>
    <row r="460" spans="1:8" ht="15.75" thickBot="1" x14ac:dyDescent="0.3">
      <c r="A460" s="11" t="s">
        <v>807</v>
      </c>
      <c r="B460" s="13" t="s">
        <v>808</v>
      </c>
      <c r="C460" s="12">
        <v>1130273</v>
      </c>
      <c r="D460" s="13">
        <v>364.25</v>
      </c>
      <c r="E460" s="12">
        <v>3104</v>
      </c>
      <c r="F460" s="13">
        <v>1.1000000000000001</v>
      </c>
      <c r="G460" s="22">
        <f t="shared" si="14"/>
        <v>2.0167764797076573</v>
      </c>
      <c r="H460" s="13">
        <v>9.8800000000000008</v>
      </c>
    </row>
    <row r="461" spans="1:8" ht="15.75" thickBot="1" x14ac:dyDescent="0.3">
      <c r="A461" s="14" t="s">
        <v>809</v>
      </c>
      <c r="B461" s="16" t="s">
        <v>810</v>
      </c>
      <c r="C461" s="15">
        <v>1070031</v>
      </c>
      <c r="D461" s="16">
        <v>266.77999999999997</v>
      </c>
      <c r="E461" s="15">
        <v>4013</v>
      </c>
      <c r="F461" s="16">
        <v>1.41</v>
      </c>
      <c r="G461" s="22">
        <f t="shared" si="14"/>
        <v>1.477105365151431</v>
      </c>
      <c r="H461" s="16">
        <v>12.78</v>
      </c>
    </row>
    <row r="462" spans="1:8" ht="15.75" thickBot="1" x14ac:dyDescent="0.3">
      <c r="A462" s="11" t="s">
        <v>811</v>
      </c>
      <c r="B462" s="13" t="s">
        <v>812</v>
      </c>
      <c r="C462" s="12">
        <v>1574221</v>
      </c>
      <c r="D462" s="13">
        <v>273.67</v>
      </c>
      <c r="E462" s="12">
        <v>5753</v>
      </c>
      <c r="F462" s="13">
        <v>2.04</v>
      </c>
      <c r="G462" s="22">
        <f t="shared" si="14"/>
        <v>1.5152538619124079</v>
      </c>
      <c r="H462" s="13">
        <v>18.29</v>
      </c>
    </row>
    <row r="463" spans="1:8" ht="15.75" thickBot="1" x14ac:dyDescent="0.3">
      <c r="A463" s="14" t="s">
        <v>813</v>
      </c>
      <c r="B463" s="16" t="s">
        <v>814</v>
      </c>
      <c r="C463" s="15">
        <v>1457162</v>
      </c>
      <c r="D463" s="29">
        <v>1288.72</v>
      </c>
      <c r="E463" s="15">
        <v>1131</v>
      </c>
      <c r="F463" s="16">
        <v>0.4</v>
      </c>
      <c r="G463" s="22">
        <f t="shared" si="14"/>
        <v>7.1353745639776314</v>
      </c>
      <c r="H463" s="16">
        <v>4.0199999999999996</v>
      </c>
    </row>
    <row r="466" spans="1:8" s="4" customFormat="1" ht="36" x14ac:dyDescent="0.55000000000000004">
      <c r="A466" s="27" t="s">
        <v>854</v>
      </c>
      <c r="D466" s="5"/>
    </row>
    <row r="467" spans="1:8" ht="15.75" thickBot="1" x14ac:dyDescent="0.3">
      <c r="A467" t="s">
        <v>0</v>
      </c>
      <c r="B467" t="s">
        <v>1</v>
      </c>
      <c r="C467" s="1" t="s">
        <v>2</v>
      </c>
      <c r="D467" s="1" t="s">
        <v>3</v>
      </c>
      <c r="E467" t="s">
        <v>205</v>
      </c>
      <c r="F467" t="s">
        <v>206</v>
      </c>
      <c r="G467" t="s">
        <v>853</v>
      </c>
      <c r="H467" t="s">
        <v>651</v>
      </c>
    </row>
    <row r="468" spans="1:8" ht="30.75" thickBot="1" x14ac:dyDescent="0.3">
      <c r="A468" s="8" t="s">
        <v>817</v>
      </c>
      <c r="B468" s="10" t="s">
        <v>818</v>
      </c>
      <c r="C468" s="9">
        <v>5026128</v>
      </c>
      <c r="D468" s="10">
        <v>668.61</v>
      </c>
      <c r="E468" s="9">
        <v>7518</v>
      </c>
      <c r="F468" s="10">
        <v>2.66</v>
      </c>
      <c r="G468" s="22">
        <f>SUM(D468/$D$468)</f>
        <v>1</v>
      </c>
      <c r="H468" s="10">
        <v>24</v>
      </c>
    </row>
    <row r="469" spans="1:8" ht="30.75" thickBot="1" x14ac:dyDescent="0.3">
      <c r="A469" s="11" t="s">
        <v>819</v>
      </c>
      <c r="B469" s="13" t="s">
        <v>820</v>
      </c>
      <c r="C469" s="12">
        <v>3685744</v>
      </c>
      <c r="D469" s="13">
        <v>168.14</v>
      </c>
      <c r="E469" s="12">
        <v>21925</v>
      </c>
      <c r="F469" s="13">
        <v>7.76</v>
      </c>
      <c r="G469" s="22">
        <f t="shared" ref="G469:G485" si="15">SUM(D469/$D$468)</f>
        <v>0.25147694470618148</v>
      </c>
      <c r="H469" s="13">
        <v>70</v>
      </c>
    </row>
    <row r="470" spans="1:8" ht="30.75" thickBot="1" x14ac:dyDescent="0.3">
      <c r="A470" s="14" t="s">
        <v>821</v>
      </c>
      <c r="B470" s="16" t="s">
        <v>822</v>
      </c>
      <c r="C470" s="15">
        <v>12422172</v>
      </c>
      <c r="D470" s="29">
        <v>1158.18</v>
      </c>
      <c r="E470" s="15">
        <v>10726</v>
      </c>
      <c r="F470" s="16">
        <v>3.79</v>
      </c>
      <c r="G470" s="22">
        <f t="shared" si="15"/>
        <v>1.7322205770179926</v>
      </c>
      <c r="H470" s="16">
        <v>34.22</v>
      </c>
    </row>
    <row r="471" spans="1:8" ht="30.75" thickBot="1" x14ac:dyDescent="0.3">
      <c r="A471" s="11" t="s">
        <v>823</v>
      </c>
      <c r="B471" s="13" t="s">
        <v>824</v>
      </c>
      <c r="C471" s="12">
        <v>16195042</v>
      </c>
      <c r="D471" s="28">
        <v>2001.97</v>
      </c>
      <c r="E471" s="12">
        <v>8092</v>
      </c>
      <c r="F471" s="13">
        <v>2.86</v>
      </c>
      <c r="G471" s="22">
        <f t="shared" si="15"/>
        <v>2.9942268287940652</v>
      </c>
      <c r="H471" s="13">
        <v>25.82</v>
      </c>
    </row>
    <row r="472" spans="1:8" ht="30.75" thickBot="1" x14ac:dyDescent="0.3">
      <c r="A472" s="14" t="s">
        <v>825</v>
      </c>
      <c r="B472" s="16" t="s">
        <v>826</v>
      </c>
      <c r="C472" s="15">
        <v>3174029</v>
      </c>
      <c r="D472" s="16">
        <v>135.81</v>
      </c>
      <c r="E472" s="15">
        <v>23376</v>
      </c>
      <c r="F472" s="16">
        <v>8.27</v>
      </c>
      <c r="G472" s="22">
        <f t="shared" si="15"/>
        <v>0.20312289675595638</v>
      </c>
      <c r="H472" s="16">
        <v>74.56</v>
      </c>
    </row>
    <row r="473" spans="1:8" ht="30.75" thickBot="1" x14ac:dyDescent="0.3">
      <c r="A473" s="11" t="s">
        <v>827</v>
      </c>
      <c r="B473" s="13" t="s">
        <v>828</v>
      </c>
      <c r="C473" s="12">
        <v>6082165</v>
      </c>
      <c r="D473" s="13">
        <v>536.53</v>
      </c>
      <c r="E473" s="12">
        <v>11340</v>
      </c>
      <c r="F473" s="13">
        <v>4.0199999999999996</v>
      </c>
      <c r="G473" s="22">
        <f t="shared" si="15"/>
        <v>0.80245584122283542</v>
      </c>
      <c r="H473" s="13">
        <v>36.17</v>
      </c>
    </row>
    <row r="474" spans="1:8" ht="30.75" thickBot="1" x14ac:dyDescent="0.3">
      <c r="A474" s="14" t="s">
        <v>829</v>
      </c>
      <c r="B474" s="16" t="s">
        <v>830</v>
      </c>
      <c r="C474" s="15">
        <v>7954723</v>
      </c>
      <c r="D474" s="29">
        <v>1025.97</v>
      </c>
      <c r="E474" s="15">
        <v>7754</v>
      </c>
      <c r="F474" s="16">
        <v>2.75</v>
      </c>
      <c r="G474" s="22">
        <f t="shared" si="15"/>
        <v>1.534481985013685</v>
      </c>
      <c r="H474" s="16">
        <v>24.71</v>
      </c>
    </row>
    <row r="475" spans="1:8" ht="30.75" thickBot="1" x14ac:dyDescent="0.3">
      <c r="A475" s="11" t="s">
        <v>831</v>
      </c>
      <c r="B475" s="13" t="s">
        <v>832</v>
      </c>
      <c r="C475" s="12">
        <v>8081308</v>
      </c>
      <c r="D475" s="28">
        <v>1381.33</v>
      </c>
      <c r="E475" s="12">
        <v>5849</v>
      </c>
      <c r="F475" s="13">
        <v>2.08</v>
      </c>
      <c r="G475" s="22">
        <f t="shared" si="15"/>
        <v>2.0659726896097874</v>
      </c>
      <c r="H475" s="13">
        <v>18.63</v>
      </c>
    </row>
    <row r="476" spans="1:8" ht="30.75" thickBot="1" x14ac:dyDescent="0.3">
      <c r="A476" s="14" t="s">
        <v>833</v>
      </c>
      <c r="B476" s="16" t="s">
        <v>834</v>
      </c>
      <c r="C476" s="15">
        <v>4736641</v>
      </c>
      <c r="D476" s="16">
        <v>371.4</v>
      </c>
      <c r="E476" s="15">
        <v>12759</v>
      </c>
      <c r="F476" s="16">
        <v>4.5199999999999996</v>
      </c>
      <c r="G476" s="22">
        <f t="shared" si="15"/>
        <v>0.55548077354511594</v>
      </c>
      <c r="H476" s="16">
        <v>40.700000000000003</v>
      </c>
    </row>
    <row r="477" spans="1:8" ht="45.75" thickBot="1" x14ac:dyDescent="0.3">
      <c r="A477" s="11" t="s">
        <v>835</v>
      </c>
      <c r="B477" s="13" t="s">
        <v>836</v>
      </c>
      <c r="C477" s="12">
        <v>3629082</v>
      </c>
      <c r="D477" s="13">
        <v>238.67</v>
      </c>
      <c r="E477" s="12">
        <v>15209</v>
      </c>
      <c r="F477" s="13">
        <v>5.39</v>
      </c>
      <c r="G477" s="22">
        <f t="shared" si="15"/>
        <v>0.35696444863223703</v>
      </c>
      <c r="H477" s="13">
        <v>48.59</v>
      </c>
    </row>
    <row r="478" spans="1:8" ht="45.75" thickBot="1" x14ac:dyDescent="0.3">
      <c r="A478" s="14" t="s">
        <v>837</v>
      </c>
      <c r="B478" s="16" t="s">
        <v>838</v>
      </c>
      <c r="C478" s="15">
        <v>5026393</v>
      </c>
      <c r="D478" s="16">
        <v>337.81</v>
      </c>
      <c r="E478" s="15">
        <v>14881</v>
      </c>
      <c r="F478" s="16">
        <v>5.28</v>
      </c>
      <c r="G478" s="22">
        <f t="shared" si="15"/>
        <v>0.50524221893181376</v>
      </c>
      <c r="H478" s="16">
        <v>47.55</v>
      </c>
    </row>
    <row r="479" spans="1:8" ht="30.75" thickBot="1" x14ac:dyDescent="0.3">
      <c r="A479" s="11" t="s">
        <v>839</v>
      </c>
      <c r="B479" s="13" t="s">
        <v>840</v>
      </c>
      <c r="C479" s="12">
        <v>5243536</v>
      </c>
      <c r="D479" s="13">
        <v>378.54</v>
      </c>
      <c r="E479" s="12">
        <v>13848</v>
      </c>
      <c r="F479" s="13">
        <v>4.91</v>
      </c>
      <c r="G479" s="22">
        <f t="shared" si="15"/>
        <v>0.56615964463588642</v>
      </c>
      <c r="H479" s="13">
        <v>44.27</v>
      </c>
    </row>
    <row r="480" spans="1:8" ht="30.75" thickBot="1" x14ac:dyDescent="0.3">
      <c r="A480" s="14" t="s">
        <v>841</v>
      </c>
      <c r="B480" s="16" t="s">
        <v>842</v>
      </c>
      <c r="C480" s="15">
        <v>4545276</v>
      </c>
      <c r="D480" s="16">
        <v>273.83999999999997</v>
      </c>
      <c r="E480" s="15">
        <v>16603</v>
      </c>
      <c r="F480" s="16">
        <v>5.89</v>
      </c>
      <c r="G480" s="22">
        <f t="shared" si="15"/>
        <v>0.40956611477542959</v>
      </c>
      <c r="H480" s="16">
        <v>53.73</v>
      </c>
    </row>
    <row r="481" spans="1:10" ht="30.75" thickBot="1" x14ac:dyDescent="0.3">
      <c r="A481" s="11" t="s">
        <v>843</v>
      </c>
      <c r="B481" s="13" t="s">
        <v>844</v>
      </c>
      <c r="C481" s="12">
        <v>2933772</v>
      </c>
      <c r="D481" s="13">
        <v>167.77</v>
      </c>
      <c r="E481" s="12">
        <v>17488</v>
      </c>
      <c r="F481" s="13">
        <v>6.2</v>
      </c>
      <c r="G481" s="22">
        <f t="shared" si="15"/>
        <v>0.25092355782892867</v>
      </c>
      <c r="H481" s="13">
        <v>56.61</v>
      </c>
    </row>
    <row r="482" spans="1:10" ht="45.75" thickBot="1" x14ac:dyDescent="0.3">
      <c r="A482" s="14" t="s">
        <v>845</v>
      </c>
      <c r="B482" s="16" t="s">
        <v>846</v>
      </c>
      <c r="C482" s="15">
        <v>4726978</v>
      </c>
      <c r="D482" s="16">
        <v>267.77</v>
      </c>
      <c r="E482" s="15">
        <v>17661</v>
      </c>
      <c r="F482" s="16">
        <v>6.26</v>
      </c>
      <c r="G482" s="22">
        <f t="shared" si="15"/>
        <v>0.40048757870806595</v>
      </c>
      <c r="H482" s="16">
        <v>57.17</v>
      </c>
    </row>
    <row r="483" spans="1:10" ht="45.75" thickBot="1" x14ac:dyDescent="0.3">
      <c r="A483" s="11" t="s">
        <v>847</v>
      </c>
      <c r="B483" s="13" t="s">
        <v>848</v>
      </c>
      <c r="C483" s="12">
        <v>1722006</v>
      </c>
      <c r="D483" s="13">
        <v>126.16</v>
      </c>
      <c r="E483" s="12">
        <v>13642</v>
      </c>
      <c r="F483" s="13">
        <v>4.84</v>
      </c>
      <c r="G483" s="22">
        <f t="shared" si="15"/>
        <v>0.18868996874111962</v>
      </c>
      <c r="H483" s="13">
        <v>43.97</v>
      </c>
    </row>
    <row r="484" spans="1:10" ht="30.75" thickBot="1" x14ac:dyDescent="0.3">
      <c r="A484" s="14" t="s">
        <v>849</v>
      </c>
      <c r="B484" s="16" t="s">
        <v>850</v>
      </c>
      <c r="C484" s="15">
        <v>13484462</v>
      </c>
      <c r="D484" s="29">
        <v>48166.23</v>
      </c>
      <c r="E484" s="16">
        <v>280</v>
      </c>
      <c r="F484" s="16">
        <v>0.03</v>
      </c>
      <c r="G484" s="22">
        <f t="shared" si="15"/>
        <v>72.039350293893307</v>
      </c>
      <c r="H484" s="16">
        <v>0.9</v>
      </c>
    </row>
    <row r="485" spans="1:10" ht="45.75" thickBot="1" x14ac:dyDescent="0.3">
      <c r="A485" s="11" t="s">
        <v>851</v>
      </c>
      <c r="B485" s="13" t="s">
        <v>852</v>
      </c>
      <c r="C485" s="12">
        <v>1381186</v>
      </c>
      <c r="D485" s="13">
        <v>728.69</v>
      </c>
      <c r="E485" s="12">
        <v>1895</v>
      </c>
      <c r="F485" s="13">
        <v>0.67</v>
      </c>
      <c r="G485" s="22">
        <f t="shared" si="15"/>
        <v>1.0898580637441857</v>
      </c>
      <c r="H485" s="13">
        <v>6.04</v>
      </c>
    </row>
    <row r="488" spans="1:10" s="4" customFormat="1" ht="36" x14ac:dyDescent="0.55000000000000004">
      <c r="A488" s="27" t="s">
        <v>928</v>
      </c>
      <c r="D488" s="5"/>
    </row>
    <row r="489" spans="1:10" ht="15.75" thickBot="1" x14ac:dyDescent="0.3">
      <c r="A489" t="s">
        <v>0</v>
      </c>
      <c r="B489" t="s">
        <v>1</v>
      </c>
      <c r="C489" s="1" t="s">
        <v>2</v>
      </c>
      <c r="D489" s="1" t="s">
        <v>3</v>
      </c>
      <c r="E489" t="s">
        <v>205</v>
      </c>
      <c r="F489" t="s">
        <v>206</v>
      </c>
      <c r="G489" t="s">
        <v>927</v>
      </c>
      <c r="H489" t="s">
        <v>651</v>
      </c>
    </row>
    <row r="490" spans="1:10" ht="15.75" thickBot="1" x14ac:dyDescent="0.3">
      <c r="A490" s="8" t="s">
        <v>855</v>
      </c>
      <c r="B490" s="10" t="s">
        <v>856</v>
      </c>
      <c r="C490" s="9">
        <v>53903393</v>
      </c>
      <c r="D490" s="10">
        <v>900</v>
      </c>
      <c r="E490" s="9">
        <v>59576</v>
      </c>
      <c r="F490" s="10">
        <v>21.07</v>
      </c>
      <c r="G490" s="22">
        <f>SUM(D490/$D$490)</f>
        <v>1</v>
      </c>
      <c r="H490" s="10">
        <v>189.76</v>
      </c>
    </row>
    <row r="491" spans="1:10" ht="30.75" thickBot="1" x14ac:dyDescent="0.3">
      <c r="A491" s="11" t="s">
        <v>857</v>
      </c>
      <c r="B491" s="13" t="s">
        <v>858</v>
      </c>
      <c r="C491" s="12">
        <v>1383727</v>
      </c>
      <c r="D491" s="13">
        <v>65</v>
      </c>
      <c r="E491" s="12">
        <v>21389</v>
      </c>
      <c r="F491" s="13">
        <v>7.57</v>
      </c>
      <c r="G491" s="22">
        <f t="shared" ref="G491:G527" si="16">SUM(D491/$D$490)</f>
        <v>7.2222222222222215E-2</v>
      </c>
      <c r="H491" s="13">
        <v>68.150000000000006</v>
      </c>
    </row>
    <row r="492" spans="1:10" ht="15.75" thickBot="1" x14ac:dyDescent="0.3">
      <c r="A492" s="14" t="s">
        <v>859</v>
      </c>
      <c r="B492" s="16" t="s">
        <v>860</v>
      </c>
      <c r="C492" s="15">
        <v>36507039</v>
      </c>
      <c r="D492" s="15">
        <v>1036</v>
      </c>
      <c r="E492" s="15">
        <v>35385</v>
      </c>
      <c r="F492" s="16">
        <v>12.53</v>
      </c>
      <c r="G492" s="22">
        <f t="shared" si="16"/>
        <v>1.1511111111111112</v>
      </c>
      <c r="H492" s="16">
        <v>112.83</v>
      </c>
      <c r="J492" s="34"/>
    </row>
    <row r="493" spans="1:10" ht="15.75" thickBot="1" x14ac:dyDescent="0.3">
      <c r="A493" s="11" t="s">
        <v>861</v>
      </c>
      <c r="B493" s="13" t="s">
        <v>862</v>
      </c>
      <c r="C493" s="12">
        <v>124799926</v>
      </c>
      <c r="D493" s="12">
        <v>3085</v>
      </c>
      <c r="E493" s="12">
        <v>40634</v>
      </c>
      <c r="F493" s="13">
        <v>14.38</v>
      </c>
      <c r="G493" s="22">
        <f t="shared" si="16"/>
        <v>3.4277777777777776</v>
      </c>
      <c r="H493" s="13">
        <v>129.51</v>
      </c>
      <c r="J493" s="34"/>
    </row>
    <row r="494" spans="1:10" ht="15.75" thickBot="1" x14ac:dyDescent="0.3">
      <c r="A494" s="14" t="s">
        <v>863</v>
      </c>
      <c r="B494" s="16" t="s">
        <v>864</v>
      </c>
      <c r="C494" s="15">
        <v>29436231</v>
      </c>
      <c r="D494" s="16">
        <v>610</v>
      </c>
      <c r="E494" s="15">
        <v>52199</v>
      </c>
      <c r="F494" s="16">
        <v>18.47</v>
      </c>
      <c r="G494" s="22">
        <f t="shared" si="16"/>
        <v>0.67777777777777781</v>
      </c>
      <c r="H494" s="16">
        <v>166.41</v>
      </c>
      <c r="J494" s="34"/>
    </row>
    <row r="495" spans="1:10" ht="15.75" thickBot="1" x14ac:dyDescent="0.3">
      <c r="A495" s="11" t="s">
        <v>865</v>
      </c>
      <c r="B495" s="13" t="s">
        <v>866</v>
      </c>
      <c r="C495" s="12">
        <v>1592097</v>
      </c>
      <c r="D495" s="12">
        <v>1006</v>
      </c>
      <c r="E495" s="12">
        <v>1429</v>
      </c>
      <c r="F495" s="13">
        <v>0.51</v>
      </c>
      <c r="G495" s="22">
        <f t="shared" si="16"/>
        <v>1.1177777777777778</v>
      </c>
      <c r="H495" s="13">
        <v>4.5599999999999996</v>
      </c>
      <c r="J495" s="34"/>
    </row>
    <row r="496" spans="1:10" ht="15.75" thickBot="1" x14ac:dyDescent="0.3">
      <c r="A496" s="14" t="s">
        <v>867</v>
      </c>
      <c r="B496" s="16" t="s">
        <v>868</v>
      </c>
      <c r="C496" s="15">
        <v>69036689</v>
      </c>
      <c r="D496" s="16">
        <v>813</v>
      </c>
      <c r="E496" s="15">
        <v>85000</v>
      </c>
      <c r="F496" s="16">
        <v>30.08</v>
      </c>
      <c r="G496" s="22">
        <f t="shared" si="16"/>
        <v>0.90333333333333332</v>
      </c>
      <c r="H496" s="16">
        <v>270.08999999999997</v>
      </c>
    </row>
    <row r="497" spans="1:8" ht="15.75" thickBot="1" x14ac:dyDescent="0.3">
      <c r="A497" s="11" t="s">
        <v>869</v>
      </c>
      <c r="B497" s="13" t="s">
        <v>870</v>
      </c>
      <c r="C497" s="12">
        <v>28204692</v>
      </c>
      <c r="D497" s="12">
        <v>1973</v>
      </c>
      <c r="E497" s="12">
        <v>14016</v>
      </c>
      <c r="F497" s="13">
        <v>4.96</v>
      </c>
      <c r="G497" s="22">
        <f t="shared" si="16"/>
        <v>2.1922222222222221</v>
      </c>
      <c r="H497" s="13">
        <v>44.54</v>
      </c>
    </row>
    <row r="498" spans="1:8" ht="30.75" thickBot="1" x14ac:dyDescent="0.3">
      <c r="A498" s="14" t="s">
        <v>871</v>
      </c>
      <c r="B498" s="16" t="s">
        <v>872</v>
      </c>
      <c r="C498" s="15">
        <v>7451955</v>
      </c>
      <c r="D498" s="16">
        <v>160</v>
      </c>
      <c r="E498" s="15">
        <v>21634</v>
      </c>
      <c r="F498" s="16">
        <v>7.66</v>
      </c>
      <c r="G498" s="22">
        <f t="shared" si="16"/>
        <v>0.17777777777777778</v>
      </c>
      <c r="H498" s="16">
        <v>68.87</v>
      </c>
    </row>
    <row r="499" spans="1:8" ht="15.75" thickBot="1" x14ac:dyDescent="0.3">
      <c r="A499" s="11" t="s">
        <v>873</v>
      </c>
      <c r="B499" s="13" t="s">
        <v>874</v>
      </c>
      <c r="C499" s="12">
        <v>39578830</v>
      </c>
      <c r="D499" s="12">
        <v>1072</v>
      </c>
      <c r="E499" s="12">
        <v>36357</v>
      </c>
      <c r="F499" s="13">
        <v>12.87</v>
      </c>
      <c r="G499" s="22">
        <f t="shared" si="16"/>
        <v>1.191111111111111</v>
      </c>
      <c r="H499" s="13">
        <v>115.81</v>
      </c>
    </row>
    <row r="500" spans="1:8" ht="15.75" thickBot="1" x14ac:dyDescent="0.3">
      <c r="A500" s="14" t="s">
        <v>875</v>
      </c>
      <c r="B500" s="16" t="s">
        <v>876</v>
      </c>
      <c r="C500" s="15">
        <v>68438979</v>
      </c>
      <c r="D500" s="16">
        <v>895</v>
      </c>
      <c r="E500" s="15">
        <v>76935</v>
      </c>
      <c r="F500" s="16">
        <v>27.22</v>
      </c>
      <c r="G500" s="22">
        <f t="shared" si="16"/>
        <v>0.99444444444444446</v>
      </c>
      <c r="H500" s="16">
        <v>244.99</v>
      </c>
    </row>
    <row r="501" spans="1:8" ht="15.75" thickBot="1" x14ac:dyDescent="0.3">
      <c r="A501" s="11" t="s">
        <v>877</v>
      </c>
      <c r="B501" s="13" t="s">
        <v>878</v>
      </c>
      <c r="C501" s="12">
        <v>35489000</v>
      </c>
      <c r="D501" s="12">
        <v>2709</v>
      </c>
      <c r="E501" s="12">
        <v>13905</v>
      </c>
      <c r="F501" s="13">
        <v>4.92</v>
      </c>
      <c r="G501" s="22">
        <f t="shared" si="16"/>
        <v>3.01</v>
      </c>
      <c r="H501" s="13">
        <v>44.14</v>
      </c>
    </row>
    <row r="502" spans="1:8" ht="15.75" thickBot="1" x14ac:dyDescent="0.3">
      <c r="A502" s="14" t="s">
        <v>879</v>
      </c>
      <c r="B502" s="16" t="s">
        <v>880</v>
      </c>
      <c r="C502" s="15">
        <v>85358965</v>
      </c>
      <c r="D502" s="16">
        <v>648</v>
      </c>
      <c r="E502" s="15">
        <v>131484</v>
      </c>
      <c r="F502" s="16">
        <v>46.54</v>
      </c>
      <c r="G502" s="22">
        <f t="shared" si="16"/>
        <v>0.72</v>
      </c>
      <c r="H502" s="16">
        <v>418.92</v>
      </c>
    </row>
    <row r="503" spans="1:8" ht="15.75" thickBot="1" x14ac:dyDescent="0.3">
      <c r="A503" s="11" t="s">
        <v>881</v>
      </c>
      <c r="B503" s="13" t="s">
        <v>882</v>
      </c>
      <c r="C503" s="12">
        <v>124437000</v>
      </c>
      <c r="D503" s="12">
        <v>1017</v>
      </c>
      <c r="E503" s="12">
        <v>122070</v>
      </c>
      <c r="F503" s="13">
        <v>43.22</v>
      </c>
      <c r="G503" s="22">
        <f t="shared" si="16"/>
        <v>1.1299999999999999</v>
      </c>
      <c r="H503" s="13">
        <v>388.85</v>
      </c>
    </row>
    <row r="504" spans="1:8" ht="15.75" thickBot="1" x14ac:dyDescent="0.3">
      <c r="A504" s="14" t="s">
        <v>883</v>
      </c>
      <c r="B504" s="16" t="s">
        <v>884</v>
      </c>
      <c r="C504" s="15">
        <v>3091545</v>
      </c>
      <c r="D504" s="16">
        <v>245</v>
      </c>
      <c r="E504" s="15">
        <v>4112</v>
      </c>
      <c r="F504" s="16">
        <v>1.46</v>
      </c>
      <c r="G504" s="22">
        <f t="shared" si="16"/>
        <v>0.2722222222222222</v>
      </c>
      <c r="H504" s="16">
        <v>13.09</v>
      </c>
    </row>
    <row r="505" spans="1:8" ht="15.75" thickBot="1" x14ac:dyDescent="0.3">
      <c r="A505" s="11" t="s">
        <v>885</v>
      </c>
      <c r="B505" s="13" t="s">
        <v>886</v>
      </c>
      <c r="C505" s="12">
        <v>3899206</v>
      </c>
      <c r="D505" s="13">
        <v>370</v>
      </c>
      <c r="E505" s="12">
        <v>4401</v>
      </c>
      <c r="F505" s="13">
        <v>1.56</v>
      </c>
      <c r="G505" s="22">
        <f t="shared" si="16"/>
        <v>0.41111111111111109</v>
      </c>
      <c r="H505" s="13">
        <v>14.01</v>
      </c>
    </row>
    <row r="506" spans="1:8" ht="15.75" thickBot="1" x14ac:dyDescent="0.3">
      <c r="A506" s="14" t="s">
        <v>887</v>
      </c>
      <c r="B506" s="16" t="s">
        <v>888</v>
      </c>
      <c r="C506" s="15">
        <v>1239244</v>
      </c>
      <c r="D506" s="16">
        <v>130</v>
      </c>
      <c r="E506" s="15">
        <v>8139</v>
      </c>
      <c r="F506" s="16">
        <v>2.88</v>
      </c>
      <c r="G506" s="22">
        <f t="shared" si="16"/>
        <v>0.14444444444444443</v>
      </c>
      <c r="H506" s="16">
        <v>25.9</v>
      </c>
    </row>
    <row r="507" spans="1:8" ht="15.75" thickBot="1" x14ac:dyDescent="0.3">
      <c r="A507" s="11" t="s">
        <v>889</v>
      </c>
      <c r="B507" s="13" t="s">
        <v>890</v>
      </c>
      <c r="C507" s="12">
        <v>2249695</v>
      </c>
      <c r="D507" s="13">
        <v>230</v>
      </c>
      <c r="E507" s="12">
        <v>6401</v>
      </c>
      <c r="F507" s="13">
        <v>2.23</v>
      </c>
      <c r="G507" s="22">
        <f t="shared" si="16"/>
        <v>0.25555555555555554</v>
      </c>
      <c r="H507" s="13">
        <v>20.37</v>
      </c>
    </row>
    <row r="508" spans="1:8" ht="15.75" thickBot="1" x14ac:dyDescent="0.3">
      <c r="A508" s="14" t="s">
        <v>891</v>
      </c>
      <c r="B508" s="16" t="s">
        <v>892</v>
      </c>
      <c r="C508" s="15">
        <v>46796000</v>
      </c>
      <c r="D508" s="16">
        <v>780</v>
      </c>
      <c r="E508" s="15">
        <v>60119</v>
      </c>
      <c r="F508" s="16">
        <v>21.29</v>
      </c>
      <c r="G508" s="22">
        <f t="shared" si="16"/>
        <v>0.8666666666666667</v>
      </c>
      <c r="H508" s="16">
        <v>191.48</v>
      </c>
    </row>
    <row r="509" spans="1:8" ht="15.75" thickBot="1" x14ac:dyDescent="0.3">
      <c r="A509" s="11" t="s">
        <v>893</v>
      </c>
      <c r="B509" s="13" t="s">
        <v>894</v>
      </c>
      <c r="C509" s="12">
        <v>30451858</v>
      </c>
      <c r="D509" s="12">
        <v>1544</v>
      </c>
      <c r="E509" s="12">
        <v>19445</v>
      </c>
      <c r="F509" s="13">
        <v>6.89</v>
      </c>
      <c r="G509" s="22">
        <f t="shared" si="16"/>
        <v>1.7155555555555555</v>
      </c>
      <c r="H509" s="13">
        <v>61.89</v>
      </c>
    </row>
    <row r="510" spans="1:8" ht="15.75" thickBot="1" x14ac:dyDescent="0.3">
      <c r="A510" s="14" t="s">
        <v>895</v>
      </c>
      <c r="B510" s="16" t="s">
        <v>896</v>
      </c>
      <c r="C510" s="15">
        <v>81032689</v>
      </c>
      <c r="D510" s="16">
        <v>586</v>
      </c>
      <c r="E510" s="15">
        <v>138139</v>
      </c>
      <c r="F510" s="16">
        <v>48.92</v>
      </c>
      <c r="G510" s="22">
        <f t="shared" si="16"/>
        <v>0.65111111111111108</v>
      </c>
      <c r="H510" s="16">
        <v>439.98</v>
      </c>
    </row>
    <row r="511" spans="1:8" ht="15.75" thickBot="1" x14ac:dyDescent="0.3">
      <c r="A511" s="11" t="s">
        <v>897</v>
      </c>
      <c r="B511" s="13" t="s">
        <v>898</v>
      </c>
      <c r="C511" s="12">
        <v>690251</v>
      </c>
      <c r="D511" s="13">
        <v>220</v>
      </c>
      <c r="E511" s="12">
        <v>2740</v>
      </c>
      <c r="F511" s="13">
        <v>0.97</v>
      </c>
      <c r="G511" s="22">
        <f t="shared" si="16"/>
        <v>0.24444444444444444</v>
      </c>
      <c r="H511" s="13">
        <v>8.73</v>
      </c>
    </row>
    <row r="512" spans="1:8" ht="15.75" thickBot="1" x14ac:dyDescent="0.3">
      <c r="A512" s="14" t="s">
        <v>899</v>
      </c>
      <c r="B512" s="16" t="s">
        <v>900</v>
      </c>
      <c r="C512" s="15">
        <v>78412000</v>
      </c>
      <c r="D512" s="15">
        <v>1900</v>
      </c>
      <c r="E512" s="15">
        <v>41168</v>
      </c>
      <c r="F512" s="16">
        <v>14.58</v>
      </c>
      <c r="G512" s="22">
        <f t="shared" si="16"/>
        <v>2.1111111111111112</v>
      </c>
      <c r="H512" s="16">
        <v>131.28</v>
      </c>
    </row>
    <row r="513" spans="1:8" ht="15.75" thickBot="1" x14ac:dyDescent="0.3">
      <c r="A513" s="11" t="s">
        <v>901</v>
      </c>
      <c r="B513" s="13" t="s">
        <v>902</v>
      </c>
      <c r="C513" s="12">
        <v>39362732</v>
      </c>
      <c r="D513" s="12">
        <v>1060</v>
      </c>
      <c r="E513" s="12">
        <v>36432</v>
      </c>
      <c r="F513" s="13">
        <v>12.9</v>
      </c>
      <c r="G513" s="22">
        <f t="shared" si="16"/>
        <v>1.1777777777777778</v>
      </c>
      <c r="H513" s="13">
        <v>116.38</v>
      </c>
    </row>
    <row r="514" spans="1:8" ht="15.75" thickBot="1" x14ac:dyDescent="0.3">
      <c r="A514" s="14" t="s">
        <v>903</v>
      </c>
      <c r="B514" s="16" t="s">
        <v>904</v>
      </c>
      <c r="C514" s="15">
        <v>4101169</v>
      </c>
      <c r="D514" s="16">
        <v>860</v>
      </c>
      <c r="E514" s="15">
        <v>4050</v>
      </c>
      <c r="F514" s="16">
        <v>1.44</v>
      </c>
      <c r="G514" s="22">
        <f t="shared" si="16"/>
        <v>0.9555555555555556</v>
      </c>
      <c r="H514" s="16">
        <v>12.94</v>
      </c>
    </row>
    <row r="515" spans="1:8" ht="15.75" thickBot="1" x14ac:dyDescent="0.3">
      <c r="A515" s="11" t="s">
        <v>905</v>
      </c>
      <c r="B515" s="13" t="s">
        <v>906</v>
      </c>
      <c r="C515" s="12">
        <v>241066874</v>
      </c>
      <c r="D515" s="12">
        <v>2116</v>
      </c>
      <c r="E515" s="12">
        <v>113704</v>
      </c>
      <c r="F515" s="13">
        <v>40.229999999999997</v>
      </c>
      <c r="G515" s="22">
        <f t="shared" si="16"/>
        <v>2.3511111111111109</v>
      </c>
      <c r="H515" s="13">
        <v>362.31</v>
      </c>
    </row>
    <row r="516" spans="1:8" ht="15.75" thickBot="1" x14ac:dyDescent="0.3">
      <c r="A516" s="14" t="s">
        <v>907</v>
      </c>
      <c r="B516" s="16" t="s">
        <v>908</v>
      </c>
      <c r="C516" s="15">
        <v>11090480</v>
      </c>
      <c r="D516" s="16">
        <v>510</v>
      </c>
      <c r="E516" s="15">
        <v>20650</v>
      </c>
      <c r="F516" s="16">
        <v>7.31</v>
      </c>
      <c r="G516" s="22">
        <f t="shared" si="16"/>
        <v>0.56666666666666665</v>
      </c>
      <c r="H516" s="16">
        <v>65.81</v>
      </c>
    </row>
    <row r="517" spans="1:8" ht="15.75" thickBot="1" x14ac:dyDescent="0.3">
      <c r="A517" s="11" t="s">
        <v>909</v>
      </c>
      <c r="B517" s="13" t="s">
        <v>910</v>
      </c>
      <c r="C517" s="12">
        <v>99609303</v>
      </c>
      <c r="D517" s="12">
        <v>2552</v>
      </c>
      <c r="E517" s="12">
        <v>39156</v>
      </c>
      <c r="F517" s="13">
        <v>13.87</v>
      </c>
      <c r="G517" s="22">
        <f t="shared" si="16"/>
        <v>2.8355555555555556</v>
      </c>
      <c r="H517" s="13">
        <v>124.88</v>
      </c>
    </row>
    <row r="518" spans="1:8" ht="30.75" thickBot="1" x14ac:dyDescent="0.3">
      <c r="A518" s="14" t="s">
        <v>911</v>
      </c>
      <c r="B518" s="16" t="s">
        <v>912</v>
      </c>
      <c r="C518" s="15">
        <v>434192</v>
      </c>
      <c r="D518" s="16">
        <v>120</v>
      </c>
      <c r="E518" s="15">
        <v>3134</v>
      </c>
      <c r="F518" s="16">
        <v>1.1100000000000001</v>
      </c>
      <c r="G518" s="22">
        <f t="shared" si="16"/>
        <v>0.13333333333333333</v>
      </c>
      <c r="H518" s="16">
        <v>9.99</v>
      </c>
    </row>
    <row r="519" spans="1:8" ht="15.75" thickBot="1" x14ac:dyDescent="0.3">
      <c r="A519" s="11" t="s">
        <v>913</v>
      </c>
      <c r="B519" s="13" t="s">
        <v>914</v>
      </c>
      <c r="C519" s="12">
        <v>1165353</v>
      </c>
      <c r="D519" s="12">
        <v>24540</v>
      </c>
      <c r="E519" s="13">
        <v>48</v>
      </c>
      <c r="F519" s="13">
        <v>0.02</v>
      </c>
      <c r="G519" s="22">
        <f t="shared" si="16"/>
        <v>27.266666666666666</v>
      </c>
      <c r="H519" s="13">
        <v>0.15</v>
      </c>
    </row>
    <row r="520" spans="1:8" ht="45.75" thickBot="1" x14ac:dyDescent="0.3">
      <c r="A520" s="14" t="s">
        <v>915</v>
      </c>
      <c r="B520" s="16" t="s">
        <v>916</v>
      </c>
      <c r="C520" s="15">
        <v>728686</v>
      </c>
      <c r="D520" s="15">
        <v>1844</v>
      </c>
      <c r="E520" s="16">
        <v>395</v>
      </c>
      <c r="F520" s="16">
        <v>0.14000000000000001</v>
      </c>
      <c r="G520" s="22">
        <f t="shared" si="16"/>
        <v>2.048888888888889</v>
      </c>
      <c r="H520" s="16">
        <v>1.26</v>
      </c>
    </row>
    <row r="521" spans="1:8" ht="15.75" thickBot="1" x14ac:dyDescent="0.3">
      <c r="A521" s="11" t="s">
        <v>917</v>
      </c>
      <c r="B521" s="13" t="s">
        <v>918</v>
      </c>
      <c r="C521" s="12">
        <v>32066000</v>
      </c>
      <c r="D521" s="12">
        <v>31260</v>
      </c>
      <c r="E521" s="12">
        <v>1239</v>
      </c>
      <c r="F521" s="13">
        <v>0.44</v>
      </c>
      <c r="G521" s="22">
        <f t="shared" si="16"/>
        <v>34.733333333333334</v>
      </c>
      <c r="H521" s="13">
        <v>3.93</v>
      </c>
    </row>
    <row r="522" spans="1:8" ht="15.75" thickBot="1" x14ac:dyDescent="0.3">
      <c r="A522" s="14" t="s">
        <v>919</v>
      </c>
      <c r="B522" s="16" t="s">
        <v>920</v>
      </c>
      <c r="C522" s="15">
        <v>68928</v>
      </c>
      <c r="D522" s="15">
        <v>6498</v>
      </c>
      <c r="E522" s="16">
        <v>11</v>
      </c>
      <c r="F522" s="16">
        <v>0</v>
      </c>
      <c r="G522" s="22">
        <f t="shared" si="16"/>
        <v>7.22</v>
      </c>
      <c r="H522" s="16">
        <v>0.03</v>
      </c>
    </row>
    <row r="523" spans="1:8" ht="15.75" thickBot="1" x14ac:dyDescent="0.3">
      <c r="A523" s="11" t="s">
        <v>921</v>
      </c>
      <c r="B523" s="13" t="s">
        <v>922</v>
      </c>
      <c r="C523" s="12">
        <v>1394467</v>
      </c>
      <c r="D523" s="12">
        <v>7154</v>
      </c>
      <c r="E523" s="13">
        <v>195</v>
      </c>
      <c r="F523" s="13">
        <v>7.0000000000000007E-2</v>
      </c>
      <c r="G523" s="22">
        <f t="shared" si="16"/>
        <v>7.9488888888888889</v>
      </c>
      <c r="H523" s="13">
        <v>0.62</v>
      </c>
    </row>
    <row r="524" spans="1:8" ht="15.75" thickBot="1" x14ac:dyDescent="0.3">
      <c r="A524" s="14" t="s">
        <v>923</v>
      </c>
      <c r="B524" s="16" t="s">
        <v>924</v>
      </c>
      <c r="C524" s="15">
        <v>289023</v>
      </c>
      <c r="D524" s="16">
        <v>11</v>
      </c>
      <c r="E524" s="15">
        <v>22836</v>
      </c>
      <c r="F524" s="16">
        <v>8.08</v>
      </c>
      <c r="G524" s="22">
        <f t="shared" si="16"/>
        <v>1.2222222222222223E-2</v>
      </c>
      <c r="H524" s="16">
        <v>72.650000000000006</v>
      </c>
    </row>
    <row r="525" spans="1:8" ht="30.75" thickBot="1" x14ac:dyDescent="0.3">
      <c r="A525" s="11" t="s">
        <v>925</v>
      </c>
      <c r="B525" s="13" t="s">
        <v>926</v>
      </c>
      <c r="C525" s="12">
        <v>13599000</v>
      </c>
      <c r="D525" s="13">
        <v>330</v>
      </c>
      <c r="E525" s="12">
        <v>33962</v>
      </c>
      <c r="F525" s="13">
        <v>11.99</v>
      </c>
      <c r="G525" s="22">
        <f t="shared" si="16"/>
        <v>0.36666666666666664</v>
      </c>
      <c r="H525" s="13">
        <v>108.16</v>
      </c>
    </row>
    <row r="526" spans="1:8" ht="15.75" thickBot="1" x14ac:dyDescent="0.3">
      <c r="A526" s="14" t="s">
        <v>901</v>
      </c>
      <c r="B526" s="16" t="s">
        <v>902</v>
      </c>
      <c r="C526" s="15">
        <v>39362732</v>
      </c>
      <c r="D526" s="15">
        <v>1060</v>
      </c>
      <c r="E526" s="15">
        <v>36432</v>
      </c>
      <c r="F526" s="16">
        <v>12.9</v>
      </c>
      <c r="G526" s="22">
        <f t="shared" si="16"/>
        <v>1.1777777777777778</v>
      </c>
      <c r="H526" s="16">
        <v>116.38</v>
      </c>
    </row>
    <row r="527" spans="1:8" ht="15.75" thickBot="1" x14ac:dyDescent="0.3">
      <c r="A527" s="11" t="s">
        <v>909</v>
      </c>
      <c r="B527" s="13" t="s">
        <v>910</v>
      </c>
      <c r="C527" s="12">
        <v>99609303</v>
      </c>
      <c r="D527" s="12">
        <v>2552</v>
      </c>
      <c r="E527" s="12">
        <v>39156</v>
      </c>
      <c r="F527" s="13">
        <v>13.87</v>
      </c>
      <c r="G527" s="22">
        <f t="shared" si="16"/>
        <v>2.8355555555555556</v>
      </c>
      <c r="H527" s="13">
        <v>124.88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6AFA26-D839-4A11-BFD6-8467C893DF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us-states---ranking-by-populati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RSG LTD</dc:creator>
  <cp:lastModifiedBy>RSG LTD</cp:lastModifiedBy>
  <dcterms:created xsi:type="dcterms:W3CDTF">2026-01-27T03:51:55Z</dcterms:created>
  <dcterms:modified xsi:type="dcterms:W3CDTF">2026-02-10T07:20:15Z</dcterms:modified>
</cp:coreProperties>
</file>